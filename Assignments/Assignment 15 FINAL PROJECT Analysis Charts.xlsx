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d96e90e98765986f/Desktop/Spring 2024/COSC 2336 (Data Structures ^0 Algorithms)/"/>
    </mc:Choice>
  </mc:AlternateContent>
  <xr:revisionPtr revIDLastSave="336" documentId="8_{367BD365-DF5D-465D-9CBF-C48C3B665E75}" xr6:coauthVersionLast="47" xr6:coauthVersionMax="47" xr10:uidLastSave="{83933CAA-3BDE-4D70-8D8B-9B10C9D9ED2C}"/>
  <bookViews>
    <workbookView xWindow="57495" yWindow="0" windowWidth="14610" windowHeight="15585" xr2:uid="{00000000-000D-0000-FFFF-FFFF00000000}"/>
  </bookViews>
  <sheets>
    <sheet name="Overview" sheetId="16" r:id="rId1"/>
    <sheet name="BubbleSort" sheetId="15" r:id="rId2"/>
    <sheet name="SelectionSort" sheetId="8" r:id="rId3"/>
    <sheet name="InsertionSort" sheetId="9" r:id="rId4"/>
    <sheet name="MergeSort" sheetId="11" r:id="rId5"/>
    <sheet name="QuickSort" sheetId="12" r:id="rId6"/>
    <sheet name="HeapSort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9" l="1"/>
  <c r="N5" i="15"/>
  <c r="N5" i="12"/>
  <c r="N5" i="11"/>
  <c r="N5" i="8"/>
  <c r="O5" i="15"/>
  <c r="M5" i="15"/>
  <c r="L5" i="15"/>
  <c r="K5" i="15"/>
  <c r="J5" i="15"/>
  <c r="O4" i="15"/>
  <c r="N4" i="15"/>
  <c r="M4" i="15"/>
  <c r="L4" i="15"/>
  <c r="K4" i="15"/>
  <c r="J4" i="15"/>
  <c r="O3" i="15"/>
  <c r="N3" i="15"/>
  <c r="M3" i="15"/>
  <c r="L3" i="15"/>
  <c r="K3" i="15"/>
  <c r="J3" i="15"/>
  <c r="O5" i="14"/>
  <c r="N5" i="14"/>
  <c r="M5" i="14"/>
  <c r="L5" i="14"/>
  <c r="K5" i="14"/>
  <c r="J5" i="14"/>
  <c r="O4" i="14"/>
  <c r="N4" i="14"/>
  <c r="M4" i="14"/>
  <c r="L4" i="14"/>
  <c r="K4" i="14"/>
  <c r="J4" i="14"/>
  <c r="O3" i="14"/>
  <c r="N3" i="14"/>
  <c r="M3" i="14"/>
  <c r="L3" i="14"/>
  <c r="K3" i="14"/>
  <c r="J3" i="14"/>
  <c r="O5" i="12"/>
  <c r="M5" i="12"/>
  <c r="L5" i="12"/>
  <c r="K5" i="12"/>
  <c r="J5" i="12"/>
  <c r="O4" i="12"/>
  <c r="N4" i="12"/>
  <c r="M4" i="12"/>
  <c r="L4" i="12"/>
  <c r="K4" i="12"/>
  <c r="J4" i="12"/>
  <c r="O3" i="12"/>
  <c r="N3" i="12"/>
  <c r="M3" i="12"/>
  <c r="L3" i="12"/>
  <c r="K3" i="12"/>
  <c r="J3" i="12"/>
  <c r="O5" i="11"/>
  <c r="M5" i="11"/>
  <c r="L5" i="11"/>
  <c r="K5" i="11"/>
  <c r="J5" i="11"/>
  <c r="O4" i="11"/>
  <c r="N4" i="11"/>
  <c r="M4" i="11"/>
  <c r="L4" i="11"/>
  <c r="K4" i="11"/>
  <c r="J4" i="11"/>
  <c r="O3" i="11"/>
  <c r="N3" i="11"/>
  <c r="M3" i="11"/>
  <c r="L3" i="11"/>
  <c r="K3" i="11"/>
  <c r="J3" i="11"/>
  <c r="O5" i="9"/>
  <c r="M5" i="9"/>
  <c r="L5" i="9"/>
  <c r="K5" i="9"/>
  <c r="J5" i="9"/>
  <c r="O4" i="9"/>
  <c r="N4" i="9"/>
  <c r="M4" i="9"/>
  <c r="L4" i="9"/>
  <c r="K4" i="9"/>
  <c r="J4" i="9"/>
  <c r="O3" i="9"/>
  <c r="N3" i="9"/>
  <c r="M3" i="9"/>
  <c r="L3" i="9"/>
  <c r="K3" i="9"/>
  <c r="J3" i="9"/>
  <c r="O5" i="8"/>
  <c r="M5" i="8"/>
  <c r="L5" i="8"/>
  <c r="K5" i="8"/>
  <c r="J5" i="8"/>
  <c r="O4" i="8"/>
  <c r="N4" i="8"/>
  <c r="M4" i="8"/>
  <c r="L4" i="8"/>
  <c r="K4" i="8"/>
  <c r="J4" i="8"/>
  <c r="O3" i="8"/>
  <c r="N3" i="8"/>
  <c r="M3" i="8"/>
  <c r="L3" i="8"/>
  <c r="K3" i="8"/>
  <c r="J3" i="8"/>
</calcChain>
</file>

<file path=xl/sharedStrings.xml><?xml version="1.0" encoding="utf-8"?>
<sst xmlns="http://schemas.openxmlformats.org/spreadsheetml/2006/main" count="432" uniqueCount="53">
  <si>
    <t>Miliseconds</t>
  </si>
  <si>
    <t>Swaps</t>
  </si>
  <si>
    <t>Comparisons</t>
  </si>
  <si>
    <t>Number List Size</t>
  </si>
  <si>
    <t>BubbleSort Analysis Tables</t>
  </si>
  <si>
    <t>SelectionSort Analysis Tables</t>
  </si>
  <si>
    <t>Insertion Sort Analysis Tables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</si>
  <si>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</si>
  <si>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</si>
  <si>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</si>
  <si>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</si>
  <si>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</si>
  <si>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</si>
  <si>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</si>
  <si>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</si>
  <si>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</si>
  <si>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</si>
  <si>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AVERAGE</t>
  </si>
  <si>
    <t>Merge Sort Analysis Tables</t>
  </si>
  <si>
    <t>Quick Sort Analysis Tables</t>
  </si>
  <si>
    <t>Heap Sort Analysis Tables</t>
  </si>
  <si>
    <t>WORST RUN (Trial 3)</t>
  </si>
  <si>
    <t>WORST RUN (Trial 2)</t>
  </si>
  <si>
    <t>WORST RUN (Trial 1)</t>
  </si>
  <si>
    <t>WORST RUN (Trial 4)</t>
  </si>
  <si>
    <t>BEST RUN (Trial 6)</t>
  </si>
  <si>
    <t>BEST RUN (Trial 9)</t>
  </si>
  <si>
    <t>BEST RUN (Trial 7)</t>
  </si>
  <si>
    <t>BubbleSort</t>
  </si>
  <si>
    <t>SelectionSort</t>
  </si>
  <si>
    <t>InsertionSort</t>
  </si>
  <si>
    <t>MergeSort</t>
  </si>
  <si>
    <t>QuickSort</t>
  </si>
  <si>
    <t>HeapSort</t>
  </si>
  <si>
    <t>Miliseconds (BubbleSort)</t>
  </si>
  <si>
    <t>Swaps (BubbleSort)</t>
  </si>
  <si>
    <t>Comparisons (BubbleSort)</t>
  </si>
  <si>
    <t>Number List Size (InsertionSort)</t>
  </si>
  <si>
    <t>Miliseconds (InsertionSort)</t>
  </si>
  <si>
    <t>Swaps (InsertionSort)</t>
  </si>
  <si>
    <t>Comparisons (InsertionSort)</t>
  </si>
  <si>
    <t>Miliseconds (MergeSort)</t>
  </si>
  <si>
    <t>Swaps (MergeSort)</t>
  </si>
  <si>
    <t>Comparisons (MergeSort)</t>
  </si>
  <si>
    <t>Miliseconds (QuickSort)</t>
  </si>
  <si>
    <t>Swaps (QuickSort)</t>
  </si>
  <si>
    <t>Comparisons (QuickSort)</t>
  </si>
  <si>
    <t>Miliseconds (HeapSort)</t>
  </si>
  <si>
    <t>Swaps (HeapSort)</t>
  </si>
  <si>
    <t>Comparisons (HeapSort)</t>
  </si>
  <si>
    <t>Miliseconds (SelectionSort)</t>
  </si>
  <si>
    <t>Swaps (SelectionSort)</t>
  </si>
  <si>
    <t>Comparisons (SelectionSort)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</si>
</sst>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2" xfId="0" applyFill="1" applyBorder="1"/>
    <xf numFmtId="1" fontId="0" fillId="2" borderId="2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0" fontId="0" fillId="4" borderId="2" xfId="0" applyFill="1" applyBorder="1"/>
    <xf numFmtId="1" fontId="0" fillId="4" borderId="2" xfId="0" applyNumberFormat="1" applyFill="1" applyBorder="1"/>
    <xf numFmtId="0" fontId="0" fillId="2" borderId="4" xfId="0" applyFill="1" applyBorder="1"/>
    <xf numFmtId="0" fontId="0" fillId="2" borderId="7" xfId="0" applyFill="1" applyBorder="1"/>
    <xf numFmtId="1" fontId="0" fillId="2" borderId="4" xfId="0" applyNumberFormat="1" applyFill="1" applyBorder="1"/>
    <xf numFmtId="0" fontId="0" fillId="2" borderId="8" xfId="0" applyFill="1" applyBorder="1"/>
    <xf numFmtId="1" fontId="0" fillId="2" borderId="8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7" xfId="0" applyFill="1" applyBorder="1"/>
    <xf numFmtId="1" fontId="0" fillId="3" borderId="8" xfId="0" applyNumberFormat="1" applyFill="1" applyBorder="1"/>
    <xf numFmtId="0" fontId="0" fillId="4" borderId="8" xfId="0" applyFill="1" applyBorder="1"/>
    <xf numFmtId="1" fontId="0" fillId="4" borderId="8" xfId="0" applyNumberFormat="1" applyFill="1" applyBorder="1"/>
    <xf numFmtId="0" fontId="0" fillId="4" borderId="3" xfId="0" applyFill="1" applyBorder="1"/>
    <xf numFmtId="0" fontId="0" fillId="4" borderId="0" xfId="0" applyFill="1"/>
    <xf numFmtId="0" fontId="0" fillId="4" borderId="7" xfId="0" applyFill="1" applyBorder="1"/>
    <xf numFmtId="0" fontId="0" fillId="0" borderId="2" xfId="0" applyBorder="1"/>
    <xf numFmtId="0" fontId="0" fillId="5" borderId="3" xfId="0" applyFill="1" applyBorder="1"/>
    <xf numFmtId="0" fontId="0" fillId="5" borderId="7" xfId="0" applyFill="1" applyBorder="1"/>
    <xf numFmtId="0" fontId="0" fillId="5" borderId="0" xfId="0" applyFill="1"/>
    <xf numFmtId="0" fontId="0" fillId="5" borderId="2" xfId="0" applyFill="1" applyBorder="1"/>
    <xf numFmtId="1" fontId="0" fillId="5" borderId="5" xfId="0" applyNumberFormat="1" applyFill="1" applyBorder="1"/>
    <xf numFmtId="1" fontId="0" fillId="5" borderId="2" xfId="0" applyNumberFormat="1" applyFill="1" applyBorder="1"/>
    <xf numFmtId="0" fontId="0" fillId="5" borderId="4" xfId="0" applyFill="1" applyBorder="1"/>
    <xf numFmtId="1" fontId="0" fillId="5" borderId="4" xfId="0" applyNumberFormat="1" applyFill="1" applyBorder="1"/>
    <xf numFmtId="0" fontId="0" fillId="5" borderId="8" xfId="0" applyFill="1" applyBorder="1"/>
    <xf numFmtId="1" fontId="0" fillId="5" borderId="10" xfId="0" applyNumberFormat="1" applyFill="1" applyBorder="1"/>
    <xf numFmtId="0" fontId="0" fillId="5" borderId="10" xfId="0" applyFill="1" applyBorder="1"/>
    <xf numFmtId="0" fontId="0" fillId="5" borderId="6" xfId="0" applyFill="1" applyBorder="1"/>
    <xf numFmtId="1" fontId="0" fillId="5" borderId="8" xfId="0" applyNumberFormat="1" applyFill="1" applyBorder="1"/>
    <xf numFmtId="1" fontId="0" fillId="5" borderId="3" xfId="0" applyNumberFormat="1" applyFill="1" applyBorder="1"/>
    <xf numFmtId="1" fontId="0" fillId="5" borderId="0" xfId="0" applyNumberFormat="1" applyFill="1"/>
    <xf numFmtId="1" fontId="0" fillId="0" borderId="2" xfId="0" applyNumberFormat="1" applyBorder="1"/>
    <xf numFmtId="0" fontId="0" fillId="2" borderId="9" xfId="0" applyFill="1" applyBorder="1"/>
    <xf numFmtId="0" fontId="0" fillId="2" borderId="1" xfId="0" applyFill="1" applyBorder="1"/>
    <xf numFmtId="0" fontId="0" fillId="2" borderId="5" xfId="0" applyFill="1" applyBorder="1"/>
    <xf numFmtId="0" fontId="0" fillId="6" borderId="3" xfId="0" applyFill="1" applyBorder="1"/>
    <xf numFmtId="0" fontId="0" fillId="6" borderId="7" xfId="0" applyFill="1" applyBorder="1"/>
    <xf numFmtId="0" fontId="0" fillId="6" borderId="0" xfId="0" applyFill="1"/>
    <xf numFmtId="0" fontId="0" fillId="6" borderId="8" xfId="0" applyFill="1" applyBorder="1"/>
    <xf numFmtId="1" fontId="0" fillId="6" borderId="1" xfId="0" applyNumberFormat="1" applyFill="1" applyBorder="1"/>
    <xf numFmtId="0" fontId="0" fillId="6" borderId="1" xfId="0" applyFill="1" applyBorder="1"/>
    <xf numFmtId="0" fontId="0" fillId="6" borderId="2" xfId="0" applyFill="1" applyBorder="1"/>
    <xf numFmtId="1" fontId="0" fillId="6" borderId="2" xfId="0" applyNumberFormat="1" applyFill="1" applyBorder="1"/>
    <xf numFmtId="1" fontId="0" fillId="6" borderId="8" xfId="0" applyNumberFormat="1" applyFill="1" applyBorder="1"/>
    <xf numFmtId="1" fontId="0" fillId="4" borderId="5" xfId="0" applyNumberFormat="1" applyFill="1" applyBorder="1"/>
    <xf numFmtId="0" fontId="0" fillId="4" borderId="4" xfId="0" applyFill="1" applyBorder="1"/>
    <xf numFmtId="1" fontId="0" fillId="4" borderId="4" xfId="0" applyNumberFormat="1" applyFill="1" applyBorder="1"/>
    <xf numFmtId="1" fontId="0" fillId="4" borderId="10" xfId="0" applyNumberFormat="1" applyFill="1" applyBorder="1"/>
    <xf numFmtId="0" fontId="0" fillId="4" borderId="10" xfId="0" applyFill="1" applyBorder="1"/>
    <xf numFmtId="1" fontId="0" fillId="4" borderId="0" xfId="0" applyNumberFormat="1" applyFill="1"/>
    <xf numFmtId="0" fontId="0" fillId="4" borderId="6" xfId="0" applyFill="1" applyBorder="1"/>
    <xf numFmtId="1" fontId="0" fillId="4" borderId="3" xfId="0" applyNumberFormat="1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0" xfId="0" applyFill="1"/>
    <xf numFmtId="0" fontId="0" fillId="7" borderId="8" xfId="0" applyFill="1" applyBorder="1"/>
    <xf numFmtId="1" fontId="0" fillId="7" borderId="1" xfId="0" applyNumberFormat="1" applyFill="1" applyBorder="1"/>
    <xf numFmtId="0" fontId="0" fillId="7" borderId="1" xfId="0" applyFill="1" applyBorder="1"/>
    <xf numFmtId="0" fontId="0" fillId="7" borderId="2" xfId="0" applyFill="1" applyBorder="1"/>
    <xf numFmtId="1" fontId="0" fillId="7" borderId="2" xfId="0" applyNumberFormat="1" applyFill="1" applyBorder="1"/>
    <xf numFmtId="1" fontId="0" fillId="7" borderId="8" xfId="0" applyNumberFormat="1" applyFill="1" applyBorder="1"/>
    <xf numFmtId="1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3"/>
          <c:order val="0"/>
          <c:tx>
            <c:strRef>
              <c:f>Overview!$A$25</c:f>
              <c:strCache>
                <c:ptCount val="1"/>
                <c:pt idx="0">
                  <c:v>Miliseconds (MergeSort)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Overview!$B$25:$G$25</c:f>
              <c:numCache>
                <c:formatCode>0</c:formatCode>
                <c:ptCount val="6"/>
                <c:pt idx="0">
                  <c:v>1.8</c:v>
                </c:pt>
                <c:pt idx="1">
                  <c:v>0.5</c:v>
                </c:pt>
                <c:pt idx="2">
                  <c:v>5.4</c:v>
                </c:pt>
                <c:pt idx="3">
                  <c:v>19.600000000000001</c:v>
                </c:pt>
                <c:pt idx="4">
                  <c:v>131.1</c:v>
                </c:pt>
                <c:pt idx="5">
                  <c:v>828.8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CC-438D-AFA8-453627F89385}"/>
            </c:ext>
          </c:extLst>
        </c:ser>
        <c:ser>
          <c:idx val="4"/>
          <c:order val="1"/>
          <c:tx>
            <c:strRef>
              <c:f>Overview!$A$32</c:f>
              <c:strCache>
                <c:ptCount val="1"/>
                <c:pt idx="0">
                  <c:v>Miliseconds (QuickSort)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Overview!$B$32:$G$32</c:f>
              <c:numCache>
                <c:formatCode>General</c:formatCode>
                <c:ptCount val="6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7.1</c:v>
                </c:pt>
                <c:pt idx="4">
                  <c:v>32.5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CC-438D-AFA8-453627F89385}"/>
            </c:ext>
          </c:extLst>
        </c:ser>
        <c:ser>
          <c:idx val="5"/>
          <c:order val="2"/>
          <c:tx>
            <c:strRef>
              <c:f>Overview!$A$39</c:f>
              <c:strCache>
                <c:ptCount val="1"/>
                <c:pt idx="0">
                  <c:v>Miliseconds (HeapSort)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Overview!$B$39:$G$39</c:f>
              <c:numCache>
                <c:formatCode>General</c:formatCode>
                <c:ptCount val="6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9.8000000000000007</c:v>
                </c:pt>
                <c:pt idx="4">
                  <c:v>58.2</c:v>
                </c:pt>
                <c:pt idx="5">
                  <c:v>341.6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CC-438D-AFA8-453627F89385}"/>
            </c:ext>
          </c:extLst>
        </c:ser>
        <c:ser>
          <c:idx val="1"/>
          <c:order val="3"/>
          <c:tx>
            <c:strRef>
              <c:f>Overview!$A$11</c:f>
              <c:strCache>
                <c:ptCount val="1"/>
                <c:pt idx="0">
                  <c:v>Miliseconds (SelectionSort)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Overview!$B$11:$G$11</c:f>
              <c:numCache>
                <c:formatCode>General</c:formatCode>
                <c:ptCount val="6"/>
                <c:pt idx="0">
                  <c:v>0.8</c:v>
                </c:pt>
                <c:pt idx="1">
                  <c:v>1.8</c:v>
                </c:pt>
                <c:pt idx="2">
                  <c:v>33.4</c:v>
                </c:pt>
                <c:pt idx="3">
                  <c:v>467.1</c:v>
                </c:pt>
                <c:pt idx="4">
                  <c:v>62800.4</c:v>
                </c:pt>
                <c:pt idx="5">
                  <c:v>1450258.6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CC-438D-AFA8-453627F89385}"/>
            </c:ext>
          </c:extLst>
        </c:ser>
        <c:ser>
          <c:idx val="2"/>
          <c:order val="4"/>
          <c:tx>
            <c:strRef>
              <c:f>Overview!$A$18</c:f>
              <c:strCache>
                <c:ptCount val="1"/>
                <c:pt idx="0">
                  <c:v>Miliseconds (InsertionSort)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Overview!$B$18:$G$18</c:f>
              <c:numCache>
                <c:formatCode>General</c:formatCode>
                <c:ptCount val="6"/>
                <c:pt idx="0">
                  <c:v>1.2</c:v>
                </c:pt>
                <c:pt idx="1">
                  <c:v>0.3</c:v>
                </c:pt>
                <c:pt idx="2">
                  <c:v>42.1</c:v>
                </c:pt>
                <c:pt idx="3">
                  <c:v>777.7</c:v>
                </c:pt>
                <c:pt idx="4">
                  <c:v>34517.1</c:v>
                </c:pt>
                <c:pt idx="5">
                  <c:v>3076937.1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CC-438D-AFA8-453627F89385}"/>
            </c:ext>
          </c:extLst>
        </c:ser>
        <c:ser>
          <c:idx val="0"/>
          <c:order val="5"/>
          <c:tx>
            <c:strRef>
              <c:f>Overview!$A$4</c:f>
              <c:strCache>
                <c:ptCount val="1"/>
                <c:pt idx="0">
                  <c:v>Miliseconds (BubbleSort)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Overview!$B$4:$G$4</c:f>
              <c:numCache>
                <c:formatCode>General</c:formatCode>
                <c:ptCount val="6"/>
                <c:pt idx="0">
                  <c:v>2.2999999999999998</c:v>
                </c:pt>
                <c:pt idx="1">
                  <c:v>0.7</c:v>
                </c:pt>
                <c:pt idx="2">
                  <c:v>48</c:v>
                </c:pt>
                <c:pt idx="3">
                  <c:v>392.5</c:v>
                </c:pt>
                <c:pt idx="4">
                  <c:v>55806</c:v>
                </c:pt>
                <c:pt idx="5">
                  <c:v>4074918.6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CC-438D-AFA8-453627F8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6143"/>
        <c:axId val="50311183"/>
        <c:axId val="1364574328"/>
      </c:area3DChart>
      <c:catAx>
        <c:axId val="5030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List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  <c:auto val="1"/>
        <c:lblAlgn val="ctr"/>
        <c:lblOffset val="100"/>
        <c:noMultiLvlLbl val="0"/>
      </c:catAx>
      <c:valAx>
        <c:axId val="503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6143"/>
        <c:crosses val="autoZero"/>
        <c:crossBetween val="midCat"/>
      </c:valAx>
      <c:serAx>
        <c:axId val="1364574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55047932482904"/>
          <c:y val="0.10209292095724895"/>
          <c:w val="0.57112866306648657"/>
          <c:h val="0.65387766599183506"/>
        </c:manualLayout>
      </c:layout>
      <c:area3DChart>
        <c:grouping val="standard"/>
        <c:varyColors val="0"/>
        <c:ser>
          <c:idx val="1"/>
          <c:order val="0"/>
          <c:tx>
            <c:strRef>
              <c:f>Overview!$A$33</c:f>
              <c:strCache>
                <c:ptCount val="1"/>
                <c:pt idx="0">
                  <c:v>Swaps (QuickSort)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Overview!$B$33:$G$33</c:f>
              <c:numCache>
                <c:formatCode>General</c:formatCode>
                <c:ptCount val="6"/>
                <c:pt idx="0">
                  <c:v>18.2</c:v>
                </c:pt>
                <c:pt idx="1">
                  <c:v>403.3</c:v>
                </c:pt>
                <c:pt idx="2">
                  <c:v>6169</c:v>
                </c:pt>
                <c:pt idx="3">
                  <c:v>86020.4</c:v>
                </c:pt>
                <c:pt idx="4">
                  <c:v>1108697.3</c:v>
                </c:pt>
                <c:pt idx="5">
                  <c:v>13489906.4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61-46BA-80AC-94B3EFDBD6F0}"/>
            </c:ext>
          </c:extLst>
        </c:ser>
        <c:ser>
          <c:idx val="2"/>
          <c:order val="1"/>
          <c:tx>
            <c:strRef>
              <c:f>Overview!$A$26</c:f>
              <c:strCache>
                <c:ptCount val="1"/>
                <c:pt idx="0">
                  <c:v>Swaps (MergeSort)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Overview!$B$26:$G$26</c:f>
              <c:numCache>
                <c:formatCode>0</c:formatCode>
                <c:ptCount val="6"/>
                <c:pt idx="0">
                  <c:v>455</c:v>
                </c:pt>
                <c:pt idx="1">
                  <c:v>281.2</c:v>
                </c:pt>
                <c:pt idx="2">
                  <c:v>4391.6000000000004</c:v>
                </c:pt>
                <c:pt idx="3">
                  <c:v>61355.6</c:v>
                </c:pt>
                <c:pt idx="4">
                  <c:v>776437.3</c:v>
                </c:pt>
                <c:pt idx="5">
                  <c:v>9395200.5999999996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61-46BA-80AC-94B3EFDBD6F0}"/>
            </c:ext>
          </c:extLst>
        </c:ser>
        <c:ser>
          <c:idx val="4"/>
          <c:order val="2"/>
          <c:tx>
            <c:strRef>
              <c:f>Overview!$A$12</c:f>
              <c:strCache>
                <c:ptCount val="1"/>
                <c:pt idx="0">
                  <c:v>Swaps (SelectionSort)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Overview!$B$12:$G$12</c:f>
              <c:numCache>
                <c:formatCode>General</c:formatCode>
                <c:ptCount val="6"/>
                <c:pt idx="0">
                  <c:v>9</c:v>
                </c:pt>
                <c:pt idx="1">
                  <c:v>99</c:v>
                </c:pt>
                <c:pt idx="2">
                  <c:v>999</c:v>
                </c:pt>
                <c:pt idx="3">
                  <c:v>9999</c:v>
                </c:pt>
                <c:pt idx="4">
                  <c:v>99999</c:v>
                </c:pt>
                <c:pt idx="5">
                  <c:v>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1-46BA-80AC-94B3EFDBD6F0}"/>
            </c:ext>
          </c:extLst>
        </c:ser>
        <c:ser>
          <c:idx val="0"/>
          <c:order val="3"/>
          <c:tx>
            <c:strRef>
              <c:f>Overview!$A$40</c:f>
              <c:strCache>
                <c:ptCount val="1"/>
                <c:pt idx="0">
                  <c:v>Swaps (HeapSort)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Overview!$B$40:$G$40</c:f>
              <c:numCache>
                <c:formatCode>General</c:formatCode>
                <c:ptCount val="6"/>
                <c:pt idx="0">
                  <c:v>27.8</c:v>
                </c:pt>
                <c:pt idx="1">
                  <c:v>581.70000000000005</c:v>
                </c:pt>
                <c:pt idx="2">
                  <c:v>20658.3</c:v>
                </c:pt>
                <c:pt idx="3">
                  <c:v>269727</c:v>
                </c:pt>
                <c:pt idx="4">
                  <c:v>3326971.7</c:v>
                </c:pt>
                <c:pt idx="5">
                  <c:v>19073786.399999999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61-46BA-80AC-94B3EFDBD6F0}"/>
            </c:ext>
          </c:extLst>
        </c:ser>
        <c:ser>
          <c:idx val="5"/>
          <c:order val="4"/>
          <c:tx>
            <c:strRef>
              <c:f>Overview!$A$19</c:f>
              <c:strCache>
                <c:ptCount val="1"/>
                <c:pt idx="0">
                  <c:v>Swaps (InsertionSort)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Overview!$B$19:$G$19</c:f>
              <c:numCache>
                <c:formatCode>General</c:formatCode>
                <c:ptCount val="6"/>
                <c:pt idx="0">
                  <c:v>21.1</c:v>
                </c:pt>
                <c:pt idx="1">
                  <c:v>2465.5</c:v>
                </c:pt>
                <c:pt idx="2">
                  <c:v>2698921.3</c:v>
                </c:pt>
                <c:pt idx="3">
                  <c:v>22747973.699999999</c:v>
                </c:pt>
                <c:pt idx="4">
                  <c:v>2470254556.9000001</c:v>
                </c:pt>
                <c:pt idx="5">
                  <c:v>247500727304.20001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1-46BA-80AC-94B3EFDBD6F0}"/>
            </c:ext>
          </c:extLst>
        </c:ser>
        <c:ser>
          <c:idx val="3"/>
          <c:order val="5"/>
          <c:tx>
            <c:strRef>
              <c:f>Overview!$A$5</c:f>
              <c:strCache>
                <c:ptCount val="1"/>
                <c:pt idx="0">
                  <c:v>Swaps (BubbleSort)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Overview!$B$5:$G$5</c:f>
              <c:numCache>
                <c:formatCode>General</c:formatCode>
                <c:ptCount val="6"/>
                <c:pt idx="0">
                  <c:v>21.1</c:v>
                </c:pt>
                <c:pt idx="1">
                  <c:v>2465.4</c:v>
                </c:pt>
                <c:pt idx="2">
                  <c:v>2698921.3</c:v>
                </c:pt>
                <c:pt idx="3">
                  <c:v>22747973.699999999</c:v>
                </c:pt>
                <c:pt idx="4">
                  <c:v>2470254556.9000001</c:v>
                </c:pt>
                <c:pt idx="5">
                  <c:v>247444333097.89999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1-46BA-80AC-94B3EFDBD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6143"/>
        <c:axId val="50311183"/>
        <c:axId val="1364574328"/>
      </c:area3DChart>
      <c:catAx>
        <c:axId val="5030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List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  <c:auto val="1"/>
        <c:lblAlgn val="ctr"/>
        <c:lblOffset val="100"/>
        <c:noMultiLvlLbl val="0"/>
      </c:catAx>
      <c:valAx>
        <c:axId val="503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6143"/>
        <c:crosses val="autoZero"/>
        <c:crossBetween val="midCat"/>
      </c:valAx>
      <c:serAx>
        <c:axId val="1364574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19996683120802"/>
          <c:y val="0.10209292095724895"/>
          <c:w val="0.51544703048764795"/>
          <c:h val="0.65387766599183506"/>
        </c:manualLayout>
      </c:layout>
      <c:area3DChart>
        <c:grouping val="standard"/>
        <c:varyColors val="0"/>
        <c:ser>
          <c:idx val="0"/>
          <c:order val="0"/>
          <c:tx>
            <c:strRef>
              <c:f>Overview!$A$27</c:f>
              <c:strCache>
                <c:ptCount val="1"/>
                <c:pt idx="0">
                  <c:v>Comparisons (MergeSort)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Overview!$B$27:$G$27</c:f>
              <c:numCache>
                <c:formatCode>0</c:formatCode>
                <c:ptCount val="6"/>
                <c:pt idx="0">
                  <c:v>894.1</c:v>
                </c:pt>
                <c:pt idx="1">
                  <c:v>12530.5</c:v>
                </c:pt>
                <c:pt idx="2">
                  <c:v>161459.70000000001</c:v>
                </c:pt>
                <c:pt idx="3">
                  <c:v>1975890.2</c:v>
                </c:pt>
                <c:pt idx="4">
                  <c:v>1536354.4</c:v>
                </c:pt>
                <c:pt idx="5">
                  <c:v>18674382.888888888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6E-4D40-82F1-2703E11A002D}"/>
            </c:ext>
          </c:extLst>
        </c:ser>
        <c:ser>
          <c:idx val="1"/>
          <c:order val="1"/>
          <c:tx>
            <c:strRef>
              <c:f>Overview!$A$6</c:f>
              <c:strCache>
                <c:ptCount val="1"/>
                <c:pt idx="0">
                  <c:v>Comparisons (BubbleSort)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Overview!$B$15:$G$15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76E-4D40-82F1-2703E11A002D}"/>
            </c:ext>
          </c:extLst>
        </c:ser>
        <c:ser>
          <c:idx val="5"/>
          <c:order val="2"/>
          <c:tx>
            <c:strRef>
              <c:f>Overview!$A$34</c:f>
              <c:strCache>
                <c:ptCount val="1"/>
                <c:pt idx="0">
                  <c:v>Comparisons (QuickSort)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Overview!$B$34:$G$34</c:f>
              <c:numCache>
                <c:formatCode>General</c:formatCode>
                <c:ptCount val="6"/>
                <c:pt idx="0">
                  <c:v>1171.0999999999999</c:v>
                </c:pt>
                <c:pt idx="1">
                  <c:v>17243.5</c:v>
                </c:pt>
                <c:pt idx="2">
                  <c:v>217247.5</c:v>
                </c:pt>
                <c:pt idx="3">
                  <c:v>2856761.2</c:v>
                </c:pt>
                <c:pt idx="4">
                  <c:v>2144724.4</c:v>
                </c:pt>
                <c:pt idx="5">
                  <c:v>25978646.111111112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E-4D40-82F1-2703E11A002D}"/>
            </c:ext>
          </c:extLst>
        </c:ser>
        <c:ser>
          <c:idx val="3"/>
          <c:order val="3"/>
          <c:tx>
            <c:strRef>
              <c:f>Overview!$A$41</c:f>
              <c:strCache>
                <c:ptCount val="1"/>
                <c:pt idx="0">
                  <c:v>Comparisons (HeapSort)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Overview!$B$41:$G$41</c:f>
              <c:numCache>
                <c:formatCode>General</c:formatCode>
                <c:ptCount val="6"/>
                <c:pt idx="0">
                  <c:v>1975.6</c:v>
                </c:pt>
                <c:pt idx="1">
                  <c:v>27036</c:v>
                </c:pt>
                <c:pt idx="2">
                  <c:v>342833.2</c:v>
                </c:pt>
                <c:pt idx="3">
                  <c:v>4147652.8</c:v>
                </c:pt>
                <c:pt idx="4">
                  <c:v>3254772.8</c:v>
                </c:pt>
                <c:pt idx="5">
                  <c:v>39147572.799999997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6E-4D40-82F1-2703E11A002D}"/>
            </c:ext>
          </c:extLst>
        </c:ser>
        <c:ser>
          <c:idx val="4"/>
          <c:order val="4"/>
          <c:tx>
            <c:strRef>
              <c:f>Overview!$A$20</c:f>
              <c:strCache>
                <c:ptCount val="1"/>
                <c:pt idx="0">
                  <c:v>Comparisons (InsertionSort)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Overview!$B$20:$G$20</c:f>
              <c:numCache>
                <c:formatCode>General</c:formatCode>
                <c:ptCount val="6"/>
                <c:pt idx="0">
                  <c:v>25029.200000000001</c:v>
                </c:pt>
                <c:pt idx="1">
                  <c:v>2488980.9</c:v>
                </c:pt>
                <c:pt idx="2">
                  <c:v>248328652.09999999</c:v>
                </c:pt>
                <c:pt idx="3">
                  <c:v>24762037447.700001</c:v>
                </c:pt>
                <c:pt idx="4">
                  <c:v>2476732319.6999998</c:v>
                </c:pt>
                <c:pt idx="5">
                  <c:v>219983106158.77777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E-4D40-82F1-2703E11A002D}"/>
            </c:ext>
          </c:extLst>
        </c:ser>
        <c:ser>
          <c:idx val="2"/>
          <c:order val="5"/>
          <c:tx>
            <c:strRef>
              <c:f>Overview!$A$13</c:f>
              <c:strCache>
                <c:ptCount val="1"/>
                <c:pt idx="0">
                  <c:v>Comparisons (SelectionSort)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numRef>
              <c:f>Overview!$B$17:$G$17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Overview!$B$13:$G$13</c:f>
              <c:numCache>
                <c:formatCode>General</c:formatCode>
                <c:ptCount val="6"/>
                <c:pt idx="0">
                  <c:v>49990.5</c:v>
                </c:pt>
                <c:pt idx="1">
                  <c:v>5003955</c:v>
                </c:pt>
                <c:pt idx="2">
                  <c:v>500444550</c:v>
                </c:pt>
                <c:pt idx="3">
                  <c:v>50044945500</c:v>
                </c:pt>
                <c:pt idx="4">
                  <c:v>4999950000</c:v>
                </c:pt>
                <c:pt idx="5">
                  <c:v>499999500000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E-4D40-82F1-2703E11A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6143"/>
        <c:axId val="50311183"/>
        <c:axId val="1364574328"/>
      </c:area3DChart>
      <c:catAx>
        <c:axId val="5030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List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  <c:auto val="1"/>
        <c:lblAlgn val="ctr"/>
        <c:lblOffset val="100"/>
        <c:noMultiLvlLbl val="0"/>
      </c:catAx>
      <c:valAx>
        <c:axId val="503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6143"/>
        <c:crosses val="autoZero"/>
        <c:crossBetween val="midCat"/>
      </c:valAx>
      <c:serAx>
        <c:axId val="1364574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183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BubbleSort!$I$3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BubbleSort!$J$3:$O$3</c:f>
              <c:numCache>
                <c:formatCode>0</c:formatCode>
                <c:ptCount val="6"/>
                <c:pt idx="0">
                  <c:v>2.2999999999999998</c:v>
                </c:pt>
                <c:pt idx="1">
                  <c:v>0.7</c:v>
                </c:pt>
                <c:pt idx="2">
                  <c:v>48</c:v>
                </c:pt>
                <c:pt idx="3">
                  <c:v>392.5</c:v>
                </c:pt>
                <c:pt idx="4">
                  <c:v>55806</c:v>
                </c:pt>
                <c:pt idx="5">
                  <c:v>4074918.6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A80-922A-F03E232F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73D-4A80-922A-F03E232F9F16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4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BubbleSort!$I$4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BubbleSort!$J$4:$O$4</c:f>
              <c:numCache>
                <c:formatCode>0</c:formatCode>
                <c:ptCount val="6"/>
                <c:pt idx="0">
                  <c:v>21.1</c:v>
                </c:pt>
                <c:pt idx="1">
                  <c:v>2465.4</c:v>
                </c:pt>
                <c:pt idx="2">
                  <c:v>2698921.3</c:v>
                </c:pt>
                <c:pt idx="3">
                  <c:v>22747973.699999999</c:v>
                </c:pt>
                <c:pt idx="4">
                  <c:v>2470254556.9000001</c:v>
                </c:pt>
                <c:pt idx="5">
                  <c:v>247444333097.89999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1-4752-86CA-AB2BDF712CBA}"/>
            </c:ext>
          </c:extLst>
        </c:ser>
        <c:ser>
          <c:idx val="1"/>
          <c:order val="1"/>
          <c:tx>
            <c:strRef>
              <c:f>BubbleSort!$I$5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BubbleSort!$J$5:$O$5</c:f>
              <c:numCache>
                <c:formatCode>0</c:formatCode>
                <c:ptCount val="6"/>
                <c:pt idx="0">
                  <c:v>49990.5</c:v>
                </c:pt>
                <c:pt idx="1">
                  <c:v>5003955</c:v>
                </c:pt>
                <c:pt idx="2">
                  <c:v>500444550</c:v>
                </c:pt>
                <c:pt idx="3">
                  <c:v>5000044495500</c:v>
                </c:pt>
                <c:pt idx="4">
                  <c:v>4999950000</c:v>
                </c:pt>
                <c:pt idx="5">
                  <c:v>49999995000000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1-4752-86CA-AB2BDF71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BubbleSort!$I$26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BubbleSort!$J$26:$O$26</c:f>
              <c:numCache>
                <c:formatCode>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69</c:v>
                </c:pt>
                <c:pt idx="3">
                  <c:v>462</c:v>
                </c:pt>
                <c:pt idx="4">
                  <c:v>56051</c:v>
                </c:pt>
                <c:pt idx="5">
                  <c:v>3158935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6-40F5-B533-7E3D809ED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716-40F5-B533-7E3D809ED426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BubbleSort!$I$4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BubbleSort!$J$27:$O$27</c:f>
              <c:numCache>
                <c:formatCode>0</c:formatCode>
                <c:ptCount val="6"/>
                <c:pt idx="0">
                  <c:v>29</c:v>
                </c:pt>
                <c:pt idx="1">
                  <c:v>2217</c:v>
                </c:pt>
                <c:pt idx="2">
                  <c:v>251647</c:v>
                </c:pt>
                <c:pt idx="3">
                  <c:v>24857018</c:v>
                </c:pt>
                <c:pt idx="4">
                  <c:v>2478976078</c:v>
                </c:pt>
                <c:pt idx="5">
                  <c:v>247470586576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8-4967-BFCB-AD8BFD7A6844}"/>
            </c:ext>
          </c:extLst>
        </c:ser>
        <c:ser>
          <c:idx val="1"/>
          <c:order val="1"/>
          <c:tx>
            <c:strRef>
              <c:f>BubbleSort!$I$5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BubbleSort!$J$28:$O$28</c:f>
              <c:numCache>
                <c:formatCode>0</c:formatCode>
                <c:ptCount val="6"/>
                <c:pt idx="0">
                  <c:v>45</c:v>
                </c:pt>
                <c:pt idx="1">
                  <c:v>4950</c:v>
                </c:pt>
                <c:pt idx="2">
                  <c:v>499500</c:v>
                </c:pt>
                <c:pt idx="3">
                  <c:v>49995000</c:v>
                </c:pt>
                <c:pt idx="4">
                  <c:v>4999950000</c:v>
                </c:pt>
                <c:pt idx="5">
                  <c:v>49999995000000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8-4967-BFCB-AD8BFD7A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BubbleSort!$I$26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BubbleSort!$J$49:$O$49</c:f>
              <c:numCache>
                <c:formatCode>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22</c:v>
                </c:pt>
                <c:pt idx="3">
                  <c:v>167</c:v>
                </c:pt>
                <c:pt idx="4">
                  <c:v>30005</c:v>
                </c:pt>
                <c:pt idx="5">
                  <c:v>3126709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B-4E38-B343-3E77A0C2B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1BB-4E38-B343-3E77A0C2BDF2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BubbleSort!$I$4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BubbleSort!$J$50:$O$50</c:f>
              <c:numCache>
                <c:formatCode>0</c:formatCode>
                <c:ptCount val="6"/>
                <c:pt idx="0">
                  <c:v>18</c:v>
                </c:pt>
                <c:pt idx="1">
                  <c:v>2218</c:v>
                </c:pt>
                <c:pt idx="2">
                  <c:v>247729</c:v>
                </c:pt>
                <c:pt idx="3">
                  <c:v>24419431</c:v>
                </c:pt>
                <c:pt idx="4">
                  <c:v>2461791067</c:v>
                </c:pt>
                <c:pt idx="5">
                  <c:v>247291479589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1-4685-AA6D-C6F3727C9276}"/>
            </c:ext>
          </c:extLst>
        </c:ser>
        <c:ser>
          <c:idx val="1"/>
          <c:order val="1"/>
          <c:tx>
            <c:strRef>
              <c:f>BubbleSort!$I$5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BubbleSort!$J$51:$O$51</c:f>
              <c:numCache>
                <c:formatCode>0</c:formatCode>
                <c:ptCount val="6"/>
                <c:pt idx="0">
                  <c:v>45</c:v>
                </c:pt>
                <c:pt idx="1">
                  <c:v>4950</c:v>
                </c:pt>
                <c:pt idx="2">
                  <c:v>499500</c:v>
                </c:pt>
                <c:pt idx="3">
                  <c:v>49995000</c:v>
                </c:pt>
                <c:pt idx="4">
                  <c:v>4999950000</c:v>
                </c:pt>
                <c:pt idx="5">
                  <c:v>49999995000000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1-4685-AA6D-C6F3727C9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SelectionSort!$I$3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SelectionSort!$J$3:$O$3</c:f>
              <c:numCache>
                <c:formatCode>0</c:formatCode>
                <c:ptCount val="6"/>
                <c:pt idx="0">
                  <c:v>0.8</c:v>
                </c:pt>
                <c:pt idx="1">
                  <c:v>1.8</c:v>
                </c:pt>
                <c:pt idx="2">
                  <c:v>33.4</c:v>
                </c:pt>
                <c:pt idx="3">
                  <c:v>467.1</c:v>
                </c:pt>
                <c:pt idx="4">
                  <c:v>62800.4</c:v>
                </c:pt>
                <c:pt idx="5">
                  <c:v>1450258.6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E-46F0-AE71-6FDF7C9C9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22E-46F0-AE71-6FDF7C9C9A63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SelectionSort!$I$4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SelectionSort!$J$4:$O$4</c:f>
              <c:numCache>
                <c:formatCode>0</c:formatCode>
                <c:ptCount val="6"/>
                <c:pt idx="0">
                  <c:v>9</c:v>
                </c:pt>
                <c:pt idx="1">
                  <c:v>99</c:v>
                </c:pt>
                <c:pt idx="2">
                  <c:v>999</c:v>
                </c:pt>
                <c:pt idx="3">
                  <c:v>9999</c:v>
                </c:pt>
                <c:pt idx="4">
                  <c:v>99999</c:v>
                </c:pt>
                <c:pt idx="5">
                  <c:v>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B-453F-B482-FB774299E31A}"/>
            </c:ext>
          </c:extLst>
        </c:ser>
        <c:ser>
          <c:idx val="1"/>
          <c:order val="1"/>
          <c:tx>
            <c:strRef>
              <c:f>SelectionSort!$I$5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SelectionSort!$J$5:$O$5</c:f>
              <c:numCache>
                <c:formatCode>0</c:formatCode>
                <c:ptCount val="6"/>
                <c:pt idx="0">
                  <c:v>49990.5</c:v>
                </c:pt>
                <c:pt idx="1">
                  <c:v>5003955</c:v>
                </c:pt>
                <c:pt idx="2">
                  <c:v>500444550</c:v>
                </c:pt>
                <c:pt idx="3">
                  <c:v>50044945500</c:v>
                </c:pt>
                <c:pt idx="4">
                  <c:v>4999950000</c:v>
                </c:pt>
                <c:pt idx="5">
                  <c:v>499999500000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B-453F-B482-FB774299E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SelectionSort!$I$26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SelectionSort!$J$26:$O$26</c:f>
              <c:numCache>
                <c:formatCode>0</c:formatCode>
                <c:ptCount val="6"/>
                <c:pt idx="0">
                  <c:v>1</c:v>
                </c:pt>
                <c:pt idx="1">
                  <c:v>8</c:v>
                </c:pt>
                <c:pt idx="2">
                  <c:v>50</c:v>
                </c:pt>
                <c:pt idx="3">
                  <c:v>474</c:v>
                </c:pt>
                <c:pt idx="4">
                  <c:v>95739</c:v>
                </c:pt>
                <c:pt idx="5" formatCode="General">
                  <c:v>1107540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5-4B29-ADD0-6942EF85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65-4B29-ADD0-6942EF857B61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SelectionSort!$I$4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SelectionSort!$J$27:$O$27</c:f>
              <c:numCache>
                <c:formatCode>0</c:formatCode>
                <c:ptCount val="6"/>
                <c:pt idx="0">
                  <c:v>9</c:v>
                </c:pt>
                <c:pt idx="1">
                  <c:v>99</c:v>
                </c:pt>
                <c:pt idx="2">
                  <c:v>999</c:v>
                </c:pt>
                <c:pt idx="3">
                  <c:v>9999</c:v>
                </c:pt>
                <c:pt idx="4">
                  <c:v>99999</c:v>
                </c:pt>
                <c:pt idx="5" formatCode="General">
                  <c:v>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4-4659-B915-8E70FF8972D4}"/>
            </c:ext>
          </c:extLst>
        </c:ser>
        <c:ser>
          <c:idx val="1"/>
          <c:order val="1"/>
          <c:tx>
            <c:strRef>
              <c:f>SelectionSort!$I$5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SelectionSort!$J$28:$O$28</c:f>
              <c:numCache>
                <c:formatCode>0</c:formatCode>
                <c:ptCount val="6"/>
                <c:pt idx="0">
                  <c:v>45</c:v>
                </c:pt>
                <c:pt idx="1">
                  <c:v>4950</c:v>
                </c:pt>
                <c:pt idx="2">
                  <c:v>499500</c:v>
                </c:pt>
                <c:pt idx="3">
                  <c:v>49995000</c:v>
                </c:pt>
                <c:pt idx="4">
                  <c:v>4999950000</c:v>
                </c:pt>
                <c:pt idx="5" formatCode="General">
                  <c:v>499999500000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4-4659-B915-8E70FF89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SelectionSort!$I$26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SelectionSort!$J$49:$O$49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383</c:v>
                </c:pt>
                <c:pt idx="4">
                  <c:v>40043</c:v>
                </c:pt>
                <c:pt idx="5" formatCode="General">
                  <c:v>1262332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F-4104-952C-E20175753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35F-4104-952C-E201757538FC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1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SelectionSort!$I$4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SelectionSort!$J$50:$O$50</c:f>
              <c:numCache>
                <c:formatCode>0</c:formatCode>
                <c:ptCount val="6"/>
                <c:pt idx="0">
                  <c:v>9</c:v>
                </c:pt>
                <c:pt idx="1">
                  <c:v>99</c:v>
                </c:pt>
                <c:pt idx="2">
                  <c:v>999</c:v>
                </c:pt>
                <c:pt idx="3">
                  <c:v>9999</c:v>
                </c:pt>
                <c:pt idx="4">
                  <c:v>99999</c:v>
                </c:pt>
                <c:pt idx="5" formatCode="General">
                  <c:v>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4-4785-8C42-88CF2EB5F269}"/>
            </c:ext>
          </c:extLst>
        </c:ser>
        <c:ser>
          <c:idx val="1"/>
          <c:order val="1"/>
          <c:tx>
            <c:strRef>
              <c:f>SelectionSort!$I$5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SelectionSort!$J$51:$O$51</c:f>
              <c:numCache>
                <c:formatCode>0</c:formatCode>
                <c:ptCount val="6"/>
                <c:pt idx="0">
                  <c:v>45</c:v>
                </c:pt>
                <c:pt idx="1">
                  <c:v>4950</c:v>
                </c:pt>
                <c:pt idx="2">
                  <c:v>499500</c:v>
                </c:pt>
                <c:pt idx="3">
                  <c:v>49995000</c:v>
                </c:pt>
                <c:pt idx="4">
                  <c:v>4999950000</c:v>
                </c:pt>
                <c:pt idx="5" formatCode="General">
                  <c:v>499999500000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4-4785-8C42-88CF2EB5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BubbleSort!$I$3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BubbleSort!$J$3:$O$3</c:f>
              <c:numCache>
                <c:formatCode>0</c:formatCode>
                <c:ptCount val="6"/>
                <c:pt idx="0">
                  <c:v>2.2999999999999998</c:v>
                </c:pt>
                <c:pt idx="1">
                  <c:v>0.7</c:v>
                </c:pt>
                <c:pt idx="2">
                  <c:v>48</c:v>
                </c:pt>
                <c:pt idx="3">
                  <c:v>392.5</c:v>
                </c:pt>
                <c:pt idx="4">
                  <c:v>55806</c:v>
                </c:pt>
                <c:pt idx="5">
                  <c:v>4074918.6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5-4BF4-A0A4-082F37BF6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D15-4BF4-A0A4-082F37BF6BC6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4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BubbleSort!$I$4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BubbleSort!$J$4:$O$4</c:f>
              <c:numCache>
                <c:formatCode>0</c:formatCode>
                <c:ptCount val="6"/>
                <c:pt idx="0">
                  <c:v>21.1</c:v>
                </c:pt>
                <c:pt idx="1">
                  <c:v>2465.4</c:v>
                </c:pt>
                <c:pt idx="2">
                  <c:v>2698921.3</c:v>
                </c:pt>
                <c:pt idx="3">
                  <c:v>22747973.699999999</c:v>
                </c:pt>
                <c:pt idx="4">
                  <c:v>2470254556.9000001</c:v>
                </c:pt>
                <c:pt idx="5">
                  <c:v>247444333097.89999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2-4CD7-84D3-1E20C2E82452}"/>
            </c:ext>
          </c:extLst>
        </c:ser>
        <c:ser>
          <c:idx val="1"/>
          <c:order val="1"/>
          <c:tx>
            <c:strRef>
              <c:f>BubbleSort!$I$5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BubbleSort!$J$5:$O$5</c:f>
              <c:numCache>
                <c:formatCode>0</c:formatCode>
                <c:ptCount val="6"/>
                <c:pt idx="0">
                  <c:v>49990.5</c:v>
                </c:pt>
                <c:pt idx="1">
                  <c:v>5003955</c:v>
                </c:pt>
                <c:pt idx="2">
                  <c:v>500444550</c:v>
                </c:pt>
                <c:pt idx="3">
                  <c:v>5000044495500</c:v>
                </c:pt>
                <c:pt idx="4">
                  <c:v>4999950000</c:v>
                </c:pt>
                <c:pt idx="5">
                  <c:v>49999995000000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2-4CD7-84D3-1E20C2E8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20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InsertionSort!$I$26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InsertionSort!$J$26:$O$26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68</c:v>
                </c:pt>
                <c:pt idx="3">
                  <c:v>913</c:v>
                </c:pt>
                <c:pt idx="4">
                  <c:v>19219</c:v>
                </c:pt>
                <c:pt idx="5" formatCode="General">
                  <c:v>3743662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5-4F31-9F4E-BCF8E42DA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325-4F31-9F4E-BCF8E42DA973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InsertionSort!$I$4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InsertionSort!$J$27:$O$27</c:f>
              <c:numCache>
                <c:formatCode>0</c:formatCode>
                <c:ptCount val="6"/>
                <c:pt idx="0">
                  <c:v>29</c:v>
                </c:pt>
                <c:pt idx="1">
                  <c:v>2217</c:v>
                </c:pt>
                <c:pt idx="2">
                  <c:v>251647</c:v>
                </c:pt>
                <c:pt idx="3">
                  <c:v>24857018</c:v>
                </c:pt>
                <c:pt idx="4">
                  <c:v>2478976078</c:v>
                </c:pt>
                <c:pt idx="5" formatCode="General">
                  <c:v>247181371030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D-4CFA-9C0D-E6572AAC6E30}"/>
            </c:ext>
          </c:extLst>
        </c:ser>
        <c:ser>
          <c:idx val="1"/>
          <c:order val="1"/>
          <c:tx>
            <c:strRef>
              <c:f>InsertionSort!$I$5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InsertionSort!$J$28:$O$28</c:f>
              <c:numCache>
                <c:formatCode>0</c:formatCode>
                <c:ptCount val="6"/>
                <c:pt idx="0">
                  <c:v>19</c:v>
                </c:pt>
                <c:pt idx="1">
                  <c:v>2152</c:v>
                </c:pt>
                <c:pt idx="2">
                  <c:v>243335</c:v>
                </c:pt>
                <c:pt idx="3">
                  <c:v>24767402</c:v>
                </c:pt>
                <c:pt idx="4">
                  <c:v>2469520418</c:v>
                </c:pt>
                <c:pt idx="5" formatCode="General">
                  <c:v>247180371031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D-4CFA-9C0D-E6572AAC6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2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InsertionSort!$I$26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InsertionSort!$J$49:$O$49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863</c:v>
                </c:pt>
                <c:pt idx="4">
                  <c:v>25543</c:v>
                </c:pt>
                <c:pt idx="5" formatCode="General">
                  <c:v>885812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4-44B5-BB5A-ABB7E9A7A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04-44B5-BB5A-ABB7E9A7ADFD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9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InsertionSort!$I$4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InsertionSort!$J$50:$O$50</c:f>
              <c:numCache>
                <c:formatCode>0</c:formatCode>
                <c:ptCount val="6"/>
                <c:pt idx="0">
                  <c:v>28</c:v>
                </c:pt>
                <c:pt idx="1">
                  <c:v>2308</c:v>
                </c:pt>
                <c:pt idx="2">
                  <c:v>250239</c:v>
                </c:pt>
                <c:pt idx="3">
                  <c:v>24633668</c:v>
                </c:pt>
                <c:pt idx="4">
                  <c:v>2464579009</c:v>
                </c:pt>
                <c:pt idx="5" formatCode="General">
                  <c:v>247441054725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E-4604-9476-C73DA28F21A9}"/>
            </c:ext>
          </c:extLst>
        </c:ser>
        <c:ser>
          <c:idx val="1"/>
          <c:order val="1"/>
          <c:tx>
            <c:strRef>
              <c:f>InsertionSort!$I$5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InsertionSort!$J$51:$O$51</c:f>
              <c:numCache>
                <c:formatCode>0</c:formatCode>
                <c:ptCount val="6"/>
                <c:pt idx="0">
                  <c:v>21</c:v>
                </c:pt>
                <c:pt idx="1">
                  <c:v>2361</c:v>
                </c:pt>
                <c:pt idx="2">
                  <c:v>240701</c:v>
                </c:pt>
                <c:pt idx="3">
                  <c:v>24524267</c:v>
                </c:pt>
                <c:pt idx="4">
                  <c:v>2470018759</c:v>
                </c:pt>
                <c:pt idx="5" formatCode="General">
                  <c:v>247440054726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E-4604-9476-C73DA28F2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5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MergeSort!$I$3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MergeSort!$J$3:$O$3</c:f>
              <c:numCache>
                <c:formatCode>0</c:formatCode>
                <c:ptCount val="6"/>
                <c:pt idx="0">
                  <c:v>1.8</c:v>
                </c:pt>
                <c:pt idx="1">
                  <c:v>0.5</c:v>
                </c:pt>
                <c:pt idx="2">
                  <c:v>5.4</c:v>
                </c:pt>
                <c:pt idx="3">
                  <c:v>19.600000000000001</c:v>
                </c:pt>
                <c:pt idx="4">
                  <c:v>131.1</c:v>
                </c:pt>
                <c:pt idx="5">
                  <c:v>828.8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4-438A-BE4A-D036E424B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884-438A-BE4A-D036E424B299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8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MergeSort!$I$4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MergeSort!$J$4:$O$4</c:f>
              <c:numCache>
                <c:formatCode>0</c:formatCode>
                <c:ptCount val="6"/>
                <c:pt idx="0">
                  <c:v>455</c:v>
                </c:pt>
                <c:pt idx="1">
                  <c:v>281.2</c:v>
                </c:pt>
                <c:pt idx="2">
                  <c:v>4391.6000000000004</c:v>
                </c:pt>
                <c:pt idx="3">
                  <c:v>61355.6</c:v>
                </c:pt>
                <c:pt idx="4">
                  <c:v>776437.3</c:v>
                </c:pt>
                <c:pt idx="5">
                  <c:v>9395200.5999999996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1-41F0-9B22-2FC038528D9D}"/>
            </c:ext>
          </c:extLst>
        </c:ser>
        <c:ser>
          <c:idx val="1"/>
          <c:order val="1"/>
          <c:tx>
            <c:strRef>
              <c:f>MergeSort!$I$5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MergeSort!$J$5:$O$5</c:f>
              <c:numCache>
                <c:formatCode>0</c:formatCode>
                <c:ptCount val="6"/>
                <c:pt idx="0">
                  <c:v>894.1</c:v>
                </c:pt>
                <c:pt idx="1">
                  <c:v>12530.5</c:v>
                </c:pt>
                <c:pt idx="2">
                  <c:v>161459.70000000001</c:v>
                </c:pt>
                <c:pt idx="3">
                  <c:v>1975890.2</c:v>
                </c:pt>
                <c:pt idx="4">
                  <c:v>1536354.4</c:v>
                </c:pt>
                <c:pt idx="5">
                  <c:v>18674382.888888888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1-41F0-9B22-2FC03852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MergeSort!$I$26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MergeSort!$J$26:$O$26</c:f>
              <c:numCache>
                <c:formatCode>0</c:formatCode>
                <c:ptCount val="6"/>
                <c:pt idx="0">
                  <c:v>5</c:v>
                </c:pt>
                <c:pt idx="1">
                  <c:v>1</c:v>
                </c:pt>
                <c:pt idx="2">
                  <c:v>7</c:v>
                </c:pt>
                <c:pt idx="3">
                  <c:v>21</c:v>
                </c:pt>
                <c:pt idx="4">
                  <c:v>278</c:v>
                </c:pt>
                <c:pt idx="5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9-4814-B5D5-D388E696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DE9-4814-B5D5-D388E696AE2B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9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MergeSort!$I$4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MergeSort!$J$27:$O$27</c:f>
              <c:numCache>
                <c:formatCode>0</c:formatCode>
                <c:ptCount val="6"/>
                <c:pt idx="0">
                  <c:v>16</c:v>
                </c:pt>
                <c:pt idx="1">
                  <c:v>285</c:v>
                </c:pt>
                <c:pt idx="2">
                  <c:v>4440</c:v>
                </c:pt>
                <c:pt idx="3">
                  <c:v>61348</c:v>
                </c:pt>
                <c:pt idx="4">
                  <c:v>776376</c:v>
                </c:pt>
                <c:pt idx="5">
                  <c:v>9394501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B-436A-8416-0CFFA894D759}"/>
            </c:ext>
          </c:extLst>
        </c:ser>
        <c:ser>
          <c:idx val="1"/>
          <c:order val="1"/>
          <c:tx>
            <c:strRef>
              <c:f>MergeSort!$I$5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MergeSort!$J$28:$O$28</c:f>
              <c:numCache>
                <c:formatCode>0</c:formatCode>
                <c:ptCount val="6"/>
                <c:pt idx="0">
                  <c:v>25</c:v>
                </c:pt>
                <c:pt idx="1">
                  <c:v>544</c:v>
                </c:pt>
                <c:pt idx="2">
                  <c:v>8734</c:v>
                </c:pt>
                <c:pt idx="3">
                  <c:v>120429</c:v>
                </c:pt>
                <c:pt idx="4">
                  <c:v>1536275</c:v>
                </c:pt>
                <c:pt idx="5">
                  <c:v>18674613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B-436A-8416-0CFFA894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in val="-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MergeSort!$I$26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MergeSort!$J$49:$O$49</c:f>
              <c:numCache>
                <c:formatCode>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  <c:pt idx="4">
                  <c:v>102</c:v>
                </c:pt>
                <c:pt idx="5">
                  <c:v>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7-4F3B-93B5-310633A3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17-4F3B-93B5-310633A33113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MergeSort!$I$4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MergeSort!$J$50:$O$50</c:f>
              <c:numCache>
                <c:formatCode>0</c:formatCode>
                <c:ptCount val="6"/>
                <c:pt idx="0">
                  <c:v>10</c:v>
                </c:pt>
                <c:pt idx="1">
                  <c:v>282</c:v>
                </c:pt>
                <c:pt idx="2">
                  <c:v>4373</c:v>
                </c:pt>
                <c:pt idx="3">
                  <c:v>61415</c:v>
                </c:pt>
                <c:pt idx="4">
                  <c:v>776408</c:v>
                </c:pt>
                <c:pt idx="5">
                  <c:v>9394473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9-4B12-99F5-B06709602A97}"/>
            </c:ext>
          </c:extLst>
        </c:ser>
        <c:ser>
          <c:idx val="1"/>
          <c:order val="1"/>
          <c:tx>
            <c:strRef>
              <c:f>MergeSort!$I$5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MergeSort!$J$51:$O$51</c:f>
              <c:numCache>
                <c:formatCode>0</c:formatCode>
                <c:ptCount val="6"/>
                <c:pt idx="0">
                  <c:v>22</c:v>
                </c:pt>
                <c:pt idx="1">
                  <c:v>543</c:v>
                </c:pt>
                <c:pt idx="2">
                  <c:v>8715</c:v>
                </c:pt>
                <c:pt idx="3">
                  <c:v>120528</c:v>
                </c:pt>
                <c:pt idx="4">
                  <c:v>1536268</c:v>
                </c:pt>
                <c:pt idx="5">
                  <c:v>18674442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9-4B12-99F5-B0670960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30000000"/>
          <c:min val="-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QuickSort!$I$3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QuickSort!$J$3:$O$3</c:f>
              <c:numCache>
                <c:formatCode>0</c:formatCode>
                <c:ptCount val="6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7.1</c:v>
                </c:pt>
                <c:pt idx="4">
                  <c:v>32.5</c:v>
                </c:pt>
                <c:pt idx="5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C-4456-8308-41B10831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47C-4456-8308-41B108311BA4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QuickSort!$I$4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QuickSort!$J$4:$O$4</c:f>
              <c:numCache>
                <c:formatCode>0</c:formatCode>
                <c:ptCount val="6"/>
                <c:pt idx="0">
                  <c:v>18.2</c:v>
                </c:pt>
                <c:pt idx="1">
                  <c:v>403.3</c:v>
                </c:pt>
                <c:pt idx="2">
                  <c:v>6169</c:v>
                </c:pt>
                <c:pt idx="3">
                  <c:v>86020.4</c:v>
                </c:pt>
                <c:pt idx="4">
                  <c:v>1108697.3</c:v>
                </c:pt>
                <c:pt idx="5">
                  <c:v>13489906.4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680-97B9-634B22621D70}"/>
            </c:ext>
          </c:extLst>
        </c:ser>
        <c:ser>
          <c:idx val="1"/>
          <c:order val="1"/>
          <c:tx>
            <c:strRef>
              <c:f>QuickSort!$I$5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QuickSort!$J$5:$O$5</c:f>
              <c:numCache>
                <c:formatCode>0</c:formatCode>
                <c:ptCount val="6"/>
                <c:pt idx="0">
                  <c:v>1171.0999999999999</c:v>
                </c:pt>
                <c:pt idx="1">
                  <c:v>17243.5</c:v>
                </c:pt>
                <c:pt idx="2">
                  <c:v>217247.5</c:v>
                </c:pt>
                <c:pt idx="3">
                  <c:v>2856761.2</c:v>
                </c:pt>
                <c:pt idx="4">
                  <c:v>2144724.4</c:v>
                </c:pt>
                <c:pt idx="5">
                  <c:v>25978646.111111112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C-4680-97B9-634B2262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4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QuickSort!$I$26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QuickSort!$J$26:$O$26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23</c:v>
                </c:pt>
                <c:pt idx="5">
                  <c:v>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B-47F3-AECA-C3259083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6AB-47F3-AECA-C325908379E9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QuickSort!$I$4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QuickSort!$J$27:$O$27</c:f>
              <c:numCache>
                <c:formatCode>General</c:formatCode>
                <c:ptCount val="6"/>
                <c:pt idx="0">
                  <c:v>24</c:v>
                </c:pt>
                <c:pt idx="1">
                  <c:v>391</c:v>
                </c:pt>
                <c:pt idx="2">
                  <c:v>6170</c:v>
                </c:pt>
                <c:pt idx="3">
                  <c:v>84157</c:v>
                </c:pt>
                <c:pt idx="4">
                  <c:v>1041140</c:v>
                </c:pt>
                <c:pt idx="5">
                  <c:v>12845555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D-4800-9906-4E76DFD677F9}"/>
            </c:ext>
          </c:extLst>
        </c:ser>
        <c:ser>
          <c:idx val="1"/>
          <c:order val="1"/>
          <c:tx>
            <c:strRef>
              <c:f>QuickSort!$I$5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QuickSort!$J$28:$O$28</c:f>
              <c:numCache>
                <c:formatCode>General</c:formatCode>
                <c:ptCount val="6"/>
                <c:pt idx="0">
                  <c:v>32</c:v>
                </c:pt>
                <c:pt idx="1">
                  <c:v>711</c:v>
                </c:pt>
                <c:pt idx="2">
                  <c:v>12182</c:v>
                </c:pt>
                <c:pt idx="3">
                  <c:v>164242</c:v>
                </c:pt>
                <c:pt idx="4">
                  <c:v>2126401</c:v>
                </c:pt>
                <c:pt idx="5">
                  <c:v>25543141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D-4800-9906-4E76DFD6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QuickSort!$I$26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QuickSort!$J$49:$O$49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44</c:v>
                </c:pt>
                <c:pt idx="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6-44A3-9622-C9F34EDF6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D96-44A3-9622-C9F34EDF6E23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QuickSort!$I$4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QuickSort!$J$50:$O$50</c:f>
              <c:numCache>
                <c:formatCode>General</c:formatCode>
                <c:ptCount val="6"/>
                <c:pt idx="0">
                  <c:v>24</c:v>
                </c:pt>
                <c:pt idx="1">
                  <c:v>378</c:v>
                </c:pt>
                <c:pt idx="2">
                  <c:v>6662</c:v>
                </c:pt>
                <c:pt idx="3">
                  <c:v>88726</c:v>
                </c:pt>
                <c:pt idx="4">
                  <c:v>1098131</c:v>
                </c:pt>
                <c:pt idx="5">
                  <c:v>13562090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C-4A5E-9F11-3502B130580A}"/>
            </c:ext>
          </c:extLst>
        </c:ser>
        <c:ser>
          <c:idx val="1"/>
          <c:order val="1"/>
          <c:tx>
            <c:strRef>
              <c:f>QuickSort!$I$5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QuickSort!$J$51:$O$51</c:f>
              <c:numCache>
                <c:formatCode>General</c:formatCode>
                <c:ptCount val="6"/>
                <c:pt idx="0">
                  <c:v>30</c:v>
                </c:pt>
                <c:pt idx="1">
                  <c:v>664</c:v>
                </c:pt>
                <c:pt idx="2">
                  <c:v>11905</c:v>
                </c:pt>
                <c:pt idx="3">
                  <c:v>156305</c:v>
                </c:pt>
                <c:pt idx="4">
                  <c:v>2113616</c:v>
                </c:pt>
                <c:pt idx="5">
                  <c:v>25913526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C-4A5E-9F11-3502B130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4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HeapSort!$I$3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HeapSort!$J$3:$O$3</c:f>
              <c:numCache>
                <c:formatCode>0</c:formatCode>
                <c:ptCount val="6"/>
                <c:pt idx="0">
                  <c:v>0</c:v>
                </c:pt>
                <c:pt idx="1">
                  <c:v>0.8</c:v>
                </c:pt>
                <c:pt idx="2">
                  <c:v>1.8</c:v>
                </c:pt>
                <c:pt idx="3">
                  <c:v>9.8000000000000007</c:v>
                </c:pt>
                <c:pt idx="4">
                  <c:v>58.2</c:v>
                </c:pt>
                <c:pt idx="5">
                  <c:v>341.6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0-49C7-B364-D17F7FC45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8B0-49C7-B364-D17F7FC457DE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Swaps/Comparisons</a:t>
            </a:r>
            <a:r>
              <a:rPr lang="en-US" baseline="0"/>
              <a:t> Based On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HeapSort!$I$4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HeapSort!$J$4:$O$4</c:f>
              <c:numCache>
                <c:formatCode>0</c:formatCode>
                <c:ptCount val="6"/>
                <c:pt idx="0">
                  <c:v>27.8</c:v>
                </c:pt>
                <c:pt idx="1">
                  <c:v>581.70000000000005</c:v>
                </c:pt>
                <c:pt idx="2">
                  <c:v>20658.3</c:v>
                </c:pt>
                <c:pt idx="3">
                  <c:v>269727</c:v>
                </c:pt>
                <c:pt idx="4">
                  <c:v>3326971.7</c:v>
                </c:pt>
                <c:pt idx="5">
                  <c:v>19073786.399999999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D-4FC0-ACEB-465556590F58}"/>
            </c:ext>
          </c:extLst>
        </c:ser>
        <c:ser>
          <c:idx val="1"/>
          <c:order val="1"/>
          <c:tx>
            <c:strRef>
              <c:f>HeapSort!$I$5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HeapSort!$J$5:$O$5</c:f>
              <c:numCache>
                <c:formatCode>0</c:formatCode>
                <c:ptCount val="6"/>
                <c:pt idx="0">
                  <c:v>1975.6</c:v>
                </c:pt>
                <c:pt idx="1">
                  <c:v>27036</c:v>
                </c:pt>
                <c:pt idx="2">
                  <c:v>342833.2</c:v>
                </c:pt>
                <c:pt idx="3">
                  <c:v>4147652.8</c:v>
                </c:pt>
                <c:pt idx="4">
                  <c:v>3254772.8</c:v>
                </c:pt>
                <c:pt idx="5">
                  <c:v>39147572.799999997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D-4FC0-ACEB-465556590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6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HeapSort!$I$27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HeapSort!$J$27:$O$27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33</c:v>
                </c:pt>
                <c:pt idx="5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1-48D2-9C6C-0BADB0C9C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871-48D2-9C6C-0BADB0C9CF45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  <c:max val="3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Longest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HeapSort!$I$4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HeapSort!$J$28:$O$28</c:f>
              <c:numCache>
                <c:formatCode>General</c:formatCode>
                <c:ptCount val="6"/>
                <c:pt idx="0">
                  <c:v>30</c:v>
                </c:pt>
                <c:pt idx="1">
                  <c:v>568</c:v>
                </c:pt>
                <c:pt idx="2">
                  <c:v>9126</c:v>
                </c:pt>
                <c:pt idx="3">
                  <c:v>124363</c:v>
                </c:pt>
                <c:pt idx="4">
                  <c:v>1577390</c:v>
                </c:pt>
                <c:pt idx="5">
                  <c:v>19072314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F-472B-86CB-9617B4BA75E4}"/>
            </c:ext>
          </c:extLst>
        </c:ser>
        <c:ser>
          <c:idx val="1"/>
          <c:order val="1"/>
          <c:tx>
            <c:strRef>
              <c:f>HeapSort!$I$5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HeapSort!$J$29:$O$29</c:f>
              <c:numCache>
                <c:formatCode>General</c:formatCode>
                <c:ptCount val="6"/>
                <c:pt idx="0">
                  <c:v>70</c:v>
                </c:pt>
                <c:pt idx="1">
                  <c:v>1236</c:v>
                </c:pt>
                <c:pt idx="2">
                  <c:v>19252</c:v>
                </c:pt>
                <c:pt idx="3">
                  <c:v>258726</c:v>
                </c:pt>
                <c:pt idx="4">
                  <c:v>3254780</c:v>
                </c:pt>
                <c:pt idx="5">
                  <c:v>39144628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F-472B-86CB-9617B4BA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6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Fastest Time Taken To Sort Numbers Based On</a:t>
            </a:r>
            <a:r>
              <a:rPr lang="en-US" baseline="0"/>
              <a:t> List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HeapSort!$I$27</c:f>
              <c:strCache>
                <c:ptCount val="1"/>
                <c:pt idx="0">
                  <c:v>Miliseconds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HeapSort!$J$52:$O$52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29</c:v>
                </c:pt>
                <c:pt idx="5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1-4093-B7C5-8F3ECF729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673792"/>
        <c:axId val="125367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BubbleSort!$I$2</c15:sqref>
                        </c15:formulaRef>
                      </c:ext>
                    </c:extLst>
                    <c:strCache>
                      <c:ptCount val="1"/>
                      <c:pt idx="0">
                        <c:v>Number List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BubbleSort!$J$2:$O$2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10</c:v>
                      </c:pt>
                      <c:pt idx="1">
                        <c:v>100</c:v>
                      </c:pt>
                      <c:pt idx="2">
                        <c:v>1000</c:v>
                      </c:pt>
                      <c:pt idx="3">
                        <c:v>10000</c:v>
                      </c:pt>
                      <c:pt idx="4">
                        <c:v>100000</c:v>
                      </c:pt>
                      <c:pt idx="5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B41-4093-B7C5-8F3ECF7297C1}"/>
                  </c:ext>
                </c:extLst>
              </c15:ser>
            </c15:filteredLineSeries>
          </c:ext>
        </c:extLst>
      </c:lineChart>
      <c:catAx>
        <c:axId val="12536737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0192"/>
        <c:crosses val="autoZero"/>
        <c:auto val="1"/>
        <c:lblAlgn val="ctr"/>
        <c:lblOffset val="100"/>
        <c:noMultiLvlLbl val="0"/>
      </c:catAx>
      <c:valAx>
        <c:axId val="12536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Swaps/Comparisons</a:t>
            </a:r>
            <a:r>
              <a:rPr lang="en-US" baseline="0"/>
              <a:t> Based On List Size of Fastest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HeapSort!$I$4</c:f>
              <c:strCache>
                <c:ptCount val="1"/>
                <c:pt idx="0">
                  <c:v>Swaps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HeapSort!$J$53:$O$53</c:f>
              <c:numCache>
                <c:formatCode>General</c:formatCode>
                <c:ptCount val="6"/>
                <c:pt idx="0">
                  <c:v>27</c:v>
                </c:pt>
                <c:pt idx="1">
                  <c:v>578</c:v>
                </c:pt>
                <c:pt idx="2">
                  <c:v>9119</c:v>
                </c:pt>
                <c:pt idx="3">
                  <c:v>124373</c:v>
                </c:pt>
                <c:pt idx="4">
                  <c:v>1577376</c:v>
                </c:pt>
                <c:pt idx="5">
                  <c:v>19074492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E-4356-A84A-10C677BF95CC}"/>
            </c:ext>
          </c:extLst>
        </c:ser>
        <c:ser>
          <c:idx val="1"/>
          <c:order val="1"/>
          <c:tx>
            <c:strRef>
              <c:f>HeapSort!$I$5</c:f>
              <c:strCache>
                <c:ptCount val="1"/>
                <c:pt idx="0">
                  <c:v>Comparisons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BubbleSort!$J$2:$O$2</c:f>
              <c:numCache>
                <c:formatCode>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cat>
          <c:val>
            <c:numRef>
              <c:f>HeapSort!$J$54:$O$54</c:f>
              <c:numCache>
                <c:formatCode>General</c:formatCode>
                <c:ptCount val="6"/>
                <c:pt idx="0">
                  <c:v>64</c:v>
                </c:pt>
                <c:pt idx="1">
                  <c:v>1256</c:v>
                </c:pt>
                <c:pt idx="2">
                  <c:v>19238</c:v>
                </c:pt>
                <c:pt idx="3">
                  <c:v>258746</c:v>
                </c:pt>
                <c:pt idx="4">
                  <c:v>3254752</c:v>
                </c:pt>
                <c:pt idx="5">
                  <c:v>39148984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E-4356-A84A-10C677BF9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236704"/>
        <c:axId val="1254234184"/>
      </c:lineChart>
      <c:catAx>
        <c:axId val="1254236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4184"/>
        <c:crosses val="autoZero"/>
        <c:auto val="1"/>
        <c:lblAlgn val="ctr"/>
        <c:lblOffset val="100"/>
        <c:noMultiLvlLbl val="0"/>
      </c:catAx>
      <c:valAx>
        <c:axId val="1254234184"/>
        <c:scaling>
          <c:orientation val="minMax"/>
          <c:max val="6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135730</xdr:colOff>
      <xdr:row>0</xdr:row>
      <xdr:rowOff>176213</xdr:rowOff>
    </xdr:from>
    <xdr:to>
      <xdr:col>15</xdr:col>
      <xdr:colOff>238125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4F344-AC59-85FF-9B29-C4522C95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128587</xdr:colOff>
      <xdr:row>19</xdr:row>
      <xdr:rowOff>23812</xdr:rowOff>
    </xdr:from>
    <xdr:to>
      <xdr:col>15</xdr:col>
      <xdr:colOff>230982</xdr:colOff>
      <xdr:row>36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731E9-0BFD-40FB-9F34-5A37E5483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102395</xdr:colOff>
      <xdr:row>18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5F3801-B65B-408D-8855-639BAD814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592778</xdr:colOff>
      <xdr:row>5</xdr:row>
      <xdr:rowOff>142874</xdr:rowOff>
    </xdr:from>
    <xdr:to>
      <xdr:col>16</xdr:col>
      <xdr:colOff>23814</xdr:colOff>
      <xdr:row>21</xdr:row>
      <xdr:rowOff>102695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12D32-416F-465C-8A3B-DD1CBB4C6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50003</xdr:colOff>
      <xdr:row>5</xdr:row>
      <xdr:rowOff>122692</xdr:rowOff>
    </xdr:from>
    <xdr:to>
      <xdr:col>26</xdr:col>
      <xdr:colOff>501309</xdr:colOff>
      <xdr:row>21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3C012-A280-4E5A-B6AE-4D0F07646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636325</xdr:colOff>
      <xdr:row>28</xdr:row>
      <xdr:rowOff>163515</xdr:rowOff>
    </xdr:from>
    <xdr:to>
      <xdr:col>16</xdr:col>
      <xdr:colOff>63575</xdr:colOff>
      <xdr:row>44</xdr:row>
      <xdr:rowOff>123337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3041B9-D812-47E2-BEEA-6740B2930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88105</xdr:colOff>
      <xdr:row>28</xdr:row>
      <xdr:rowOff>149798</xdr:rowOff>
    </xdr:from>
    <xdr:to>
      <xdr:col>26</xdr:col>
      <xdr:colOff>529887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5C30C-8493-46CE-A3B9-8F47A2EA8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636325</xdr:colOff>
      <xdr:row>52</xdr:row>
      <xdr:rowOff>909</xdr:rowOff>
    </xdr:from>
    <xdr:to>
      <xdr:col>16</xdr:col>
      <xdr:colOff>68337</xdr:colOff>
      <xdr:row>67</xdr:row>
      <xdr:rowOff>122658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838F56-9688-42C2-AD3A-E14B4D6D1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52</xdr:row>
      <xdr:rowOff>1479</xdr:rowOff>
    </xdr:from>
    <xdr:to>
      <xdr:col>26</xdr:col>
      <xdr:colOff>503693</xdr:colOff>
      <xdr:row>67</xdr:row>
      <xdr:rowOff>116680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FA6049-4824-4D17-964B-A1A4291D3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592778</xdr:colOff>
      <xdr:row>5</xdr:row>
      <xdr:rowOff>142874</xdr:rowOff>
    </xdr:from>
    <xdr:to>
      <xdr:col>16</xdr:col>
      <xdr:colOff>23814</xdr:colOff>
      <xdr:row>21</xdr:row>
      <xdr:rowOff>102695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8D57E-BE97-4832-92E8-B5A128E4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50003</xdr:colOff>
      <xdr:row>5</xdr:row>
      <xdr:rowOff>122692</xdr:rowOff>
    </xdr:from>
    <xdr:to>
      <xdr:col>26</xdr:col>
      <xdr:colOff>501309</xdr:colOff>
      <xdr:row>21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F9C57-CEAB-40C0-913F-6ECDBD8E9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636325</xdr:colOff>
      <xdr:row>28</xdr:row>
      <xdr:rowOff>163515</xdr:rowOff>
    </xdr:from>
    <xdr:to>
      <xdr:col>16</xdr:col>
      <xdr:colOff>63575</xdr:colOff>
      <xdr:row>44</xdr:row>
      <xdr:rowOff>123337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92FD1-9386-43A2-B64F-DB28248D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88105</xdr:colOff>
      <xdr:row>28</xdr:row>
      <xdr:rowOff>149798</xdr:rowOff>
    </xdr:from>
    <xdr:to>
      <xdr:col>26</xdr:col>
      <xdr:colOff>529887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95C709-FC2A-457A-9365-866060FA0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636325</xdr:colOff>
      <xdr:row>52</xdr:row>
      <xdr:rowOff>909</xdr:rowOff>
    </xdr:from>
    <xdr:to>
      <xdr:col>16</xdr:col>
      <xdr:colOff>68337</xdr:colOff>
      <xdr:row>69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E2667C-AB2C-469E-9E25-475345AA6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52</xdr:row>
      <xdr:rowOff>1479</xdr:rowOff>
    </xdr:from>
    <xdr:to>
      <xdr:col>26</xdr:col>
      <xdr:colOff>503693</xdr:colOff>
      <xdr:row>69</xdr:row>
      <xdr:rowOff>160540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AEF01E-4E50-4D28-B3FD-1FCC27815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592778</xdr:colOff>
      <xdr:row>5</xdr:row>
      <xdr:rowOff>142874</xdr:rowOff>
    </xdr:from>
    <xdr:to>
      <xdr:col>16</xdr:col>
      <xdr:colOff>23814</xdr:colOff>
      <xdr:row>21</xdr:row>
      <xdr:rowOff>102695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D8718-76B9-487B-B9D2-EC791EED9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50003</xdr:colOff>
      <xdr:row>5</xdr:row>
      <xdr:rowOff>122692</xdr:rowOff>
    </xdr:from>
    <xdr:to>
      <xdr:col>26</xdr:col>
      <xdr:colOff>501309</xdr:colOff>
      <xdr:row>21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694A2-C12F-43AF-8895-4D1E2E4BF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636325</xdr:colOff>
      <xdr:row>28</xdr:row>
      <xdr:rowOff>163515</xdr:rowOff>
    </xdr:from>
    <xdr:to>
      <xdr:col>16</xdr:col>
      <xdr:colOff>63575</xdr:colOff>
      <xdr:row>44</xdr:row>
      <xdr:rowOff>123337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4A1F12-4BE7-40F4-97CD-A16685E87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88105</xdr:colOff>
      <xdr:row>28</xdr:row>
      <xdr:rowOff>149798</xdr:rowOff>
    </xdr:from>
    <xdr:to>
      <xdr:col>26</xdr:col>
      <xdr:colOff>529887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FAB35D-4B72-4580-8037-AEC71FAC8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636325</xdr:colOff>
      <xdr:row>52</xdr:row>
      <xdr:rowOff>909</xdr:rowOff>
    </xdr:from>
    <xdr:to>
      <xdr:col>16</xdr:col>
      <xdr:colOff>63575</xdr:colOff>
      <xdr:row>67</xdr:row>
      <xdr:rowOff>122658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19E743-8078-4C58-AF77-000B505D7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51</xdr:row>
      <xdr:rowOff>175311</xdr:rowOff>
    </xdr:from>
    <xdr:to>
      <xdr:col>26</xdr:col>
      <xdr:colOff>503693</xdr:colOff>
      <xdr:row>67</xdr:row>
      <xdr:rowOff>111918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208A49-DA40-4A61-BA64-018EACC92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592778</xdr:colOff>
      <xdr:row>5</xdr:row>
      <xdr:rowOff>102053</xdr:rowOff>
    </xdr:from>
    <xdr:to>
      <xdr:col>16</xdr:col>
      <xdr:colOff>28576</xdr:colOff>
      <xdr:row>21</xdr:row>
      <xdr:rowOff>61874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30446-D324-4CE6-8C18-8AA54D117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50003</xdr:colOff>
      <xdr:row>5</xdr:row>
      <xdr:rowOff>81871</xdr:rowOff>
    </xdr:from>
    <xdr:to>
      <xdr:col>26</xdr:col>
      <xdr:colOff>506071</xdr:colOff>
      <xdr:row>21</xdr:row>
      <xdr:rowOff>75859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990B7-4839-4736-80E7-63325753D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636325</xdr:colOff>
      <xdr:row>28</xdr:row>
      <xdr:rowOff>122694</xdr:rowOff>
    </xdr:from>
    <xdr:to>
      <xdr:col>16</xdr:col>
      <xdr:colOff>68337</xdr:colOff>
      <xdr:row>44</xdr:row>
      <xdr:rowOff>82516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D8604-86A4-4EA1-9932-F2A9B211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88105</xdr:colOff>
      <xdr:row>28</xdr:row>
      <xdr:rowOff>113739</xdr:rowOff>
    </xdr:from>
    <xdr:to>
      <xdr:col>26</xdr:col>
      <xdr:colOff>534649</xdr:colOff>
      <xdr:row>44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8C625F-F340-49EB-8DE4-3A5DE7F4A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636325</xdr:colOff>
      <xdr:row>51</xdr:row>
      <xdr:rowOff>136981</xdr:rowOff>
    </xdr:from>
    <xdr:to>
      <xdr:col>16</xdr:col>
      <xdr:colOff>68337</xdr:colOff>
      <xdr:row>67</xdr:row>
      <xdr:rowOff>81837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3751E6-0967-41DA-8A96-4E0261559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51</xdr:row>
      <xdr:rowOff>139252</xdr:rowOff>
    </xdr:from>
    <xdr:to>
      <xdr:col>26</xdr:col>
      <xdr:colOff>503693</xdr:colOff>
      <xdr:row>67</xdr:row>
      <xdr:rowOff>75859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CD9B9D-4D98-4F7C-8B6B-AB3C57369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9372</xdr:colOff>
      <xdr:row>5</xdr:row>
      <xdr:rowOff>135730</xdr:rowOff>
    </xdr:from>
    <xdr:to>
      <xdr:col>16</xdr:col>
      <xdr:colOff>88108</xdr:colOff>
      <xdr:row>21</xdr:row>
      <xdr:rowOff>95551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4E7FF-AAB4-4D6B-9340-51723556D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50003</xdr:colOff>
      <xdr:row>5</xdr:row>
      <xdr:rowOff>122692</xdr:rowOff>
    </xdr:from>
    <xdr:to>
      <xdr:col>26</xdr:col>
      <xdr:colOff>501309</xdr:colOff>
      <xdr:row>21</xdr:row>
      <xdr:rowOff>111918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BFDF5-C94A-4BA5-9DA2-6E002148A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636325</xdr:colOff>
      <xdr:row>28</xdr:row>
      <xdr:rowOff>163515</xdr:rowOff>
    </xdr:from>
    <xdr:to>
      <xdr:col>16</xdr:col>
      <xdr:colOff>63575</xdr:colOff>
      <xdr:row>44</xdr:row>
      <xdr:rowOff>123337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7588D7-D9DE-4039-AD2E-E79445A1C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88105</xdr:colOff>
      <xdr:row>28</xdr:row>
      <xdr:rowOff>149798</xdr:rowOff>
    </xdr:from>
    <xdr:to>
      <xdr:col>26</xdr:col>
      <xdr:colOff>529887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F9BF33-AC80-4FEF-B1E0-AC015D727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636325</xdr:colOff>
      <xdr:row>52</xdr:row>
      <xdr:rowOff>909</xdr:rowOff>
    </xdr:from>
    <xdr:to>
      <xdr:col>16</xdr:col>
      <xdr:colOff>63575</xdr:colOff>
      <xdr:row>67</xdr:row>
      <xdr:rowOff>122658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283853-C85F-4DFC-B51F-AF90BE3F9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47625</xdr:colOff>
      <xdr:row>51</xdr:row>
      <xdr:rowOff>175311</xdr:rowOff>
    </xdr:from>
    <xdr:to>
      <xdr:col>26</xdr:col>
      <xdr:colOff>503693</xdr:colOff>
      <xdr:row>67</xdr:row>
      <xdr:rowOff>111918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14D1B0-ABBA-4C1D-BD4A-7361D1B53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588468</xdr:colOff>
      <xdr:row>5</xdr:row>
      <xdr:rowOff>132291</xdr:rowOff>
    </xdr:from>
    <xdr:to>
      <xdr:col>16</xdr:col>
      <xdr:colOff>24266</xdr:colOff>
      <xdr:row>23</xdr:row>
      <xdr:rowOff>29898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65458-A5CF-4578-ADA3-1303F5C5E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9181</xdr:colOff>
      <xdr:row>5</xdr:row>
      <xdr:rowOff>122692</xdr:rowOff>
    </xdr:from>
    <xdr:to>
      <xdr:col>26</xdr:col>
      <xdr:colOff>465249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E052B-23DD-496B-9F42-EC2DB7428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622376</xdr:colOff>
      <xdr:row>30</xdr:row>
      <xdr:rowOff>1588</xdr:rowOff>
    </xdr:from>
    <xdr:to>
      <xdr:col>16</xdr:col>
      <xdr:colOff>44183</xdr:colOff>
      <xdr:row>47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977110-5CC2-49D8-BB2B-1825AF043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56807</xdr:colOff>
      <xdr:row>29</xdr:row>
      <xdr:rowOff>171227</xdr:rowOff>
    </xdr:from>
    <xdr:to>
      <xdr:col>26</xdr:col>
      <xdr:colOff>503351</xdr:colOff>
      <xdr:row>47</xdr:row>
      <xdr:rowOff>170240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8ABBFB-952F-45A2-8495-2C9AC0314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631900</xdr:colOff>
      <xdr:row>54</xdr:row>
      <xdr:rowOff>172359</xdr:rowOff>
    </xdr:from>
    <xdr:to>
      <xdr:col>16</xdr:col>
      <xdr:colOff>44183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517EE5-F347-4370-AC22-35AB27A30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28233</xdr:colOff>
      <xdr:row>54</xdr:row>
      <xdr:rowOff>172928</xdr:rowOff>
    </xdr:from>
    <xdr:to>
      <xdr:col>26</xdr:col>
      <xdr:colOff>640894</xdr:colOff>
      <xdr:row>71</xdr:row>
      <xdr:rowOff>173476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CF427C-67EC-46E3-AFF3-CBE87B28C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B5DF-F417-4F51-B782-C738FF19468A}">
  <dimension ref="A1:G41"/>
  <sheetViews>
    <sheetView tabSelected="1" topLeftCell="I1" zoomScale="80" zoomScaleNormal="80" workbookViewId="0">
      <selection activeCell="R21" sqref="R21"/>
    </sheetView>
  </sheetViews>
  <sheetFormatPr defaultRowHeight="14.25" x14ac:dyDescent="0.45"/>
  <sheetData>
    <row r="1" spans="1:7" x14ac:dyDescent="0.45">
      <c r="A1" s="26" t="s">
        <v>28</v>
      </c>
      <c r="B1" s="26"/>
      <c r="C1" s="26"/>
      <c r="D1" s="26"/>
      <c r="E1" s="26"/>
      <c r="F1" s="26"/>
      <c r="G1" s="26"/>
    </row>
    <row r="2" spans="1:7" x14ac:dyDescent="0.45">
      <c r="A2" s="26" t="s">
        <v>17</v>
      </c>
      <c r="B2" s="26"/>
      <c r="C2" s="26"/>
      <c r="D2" s="26"/>
      <c r="E2" s="26"/>
      <c r="F2" s="26"/>
      <c r="G2" s="26"/>
    </row>
    <row r="3" spans="1:7" x14ac:dyDescent="0.45">
      <c r="A3" s="26" t="s">
        <v>3</v>
      </c>
      <c r="B3" s="26">
        <v>10</v>
      </c>
      <c r="C3" s="26">
        <v>100</v>
      </c>
      <c r="D3" s="26">
        <v>1000</v>
      </c>
      <c r="E3" s="26">
        <v>10000</v>
      </c>
      <c r="F3" s="26">
        <v>100000</v>
      </c>
      <c r="G3" s="26">
        <v>1000000</v>
      </c>
    </row>
    <row r="4" spans="1:7" x14ac:dyDescent="0.45">
      <c r="A4" s="26" t="s">
        <v>34</v>
      </c>
      <c r="B4" s="26">
        <v>2.2999999999999998</v>
      </c>
      <c r="C4" s="26">
        <v>0.7</v>
      </c>
      <c r="D4" s="26">
        <v>48</v>
      </c>
      <c r="E4" s="26">
        <v>392.5</v>
      </c>
      <c r="F4" s="26">
        <v>55806</v>
      </c>
      <c r="G4" s="26">
        <v>4074918.6</v>
      </c>
    </row>
    <row r="5" spans="1:7" x14ac:dyDescent="0.45">
      <c r="A5" s="26" t="s">
        <v>35</v>
      </c>
      <c r="B5" s="26">
        <v>21.1</v>
      </c>
      <c r="C5" s="26">
        <v>2465.4</v>
      </c>
      <c r="D5" s="26">
        <v>2698921.3</v>
      </c>
      <c r="E5" s="26">
        <v>22747973.699999999</v>
      </c>
      <c r="F5" s="26">
        <v>2470254556.9000001</v>
      </c>
      <c r="G5" s="26">
        <v>247444333097.89999</v>
      </c>
    </row>
    <row r="6" spans="1:7" x14ac:dyDescent="0.45">
      <c r="A6" s="26" t="s">
        <v>36</v>
      </c>
      <c r="B6" s="26">
        <v>49990.5</v>
      </c>
      <c r="C6" s="26">
        <v>5003955</v>
      </c>
      <c r="D6" s="26">
        <v>500444550</v>
      </c>
      <c r="E6" s="26">
        <v>5000044495500</v>
      </c>
      <c r="F6" s="26">
        <v>4999950000</v>
      </c>
      <c r="G6" s="26">
        <v>49999995000000</v>
      </c>
    </row>
    <row r="8" spans="1:7" x14ac:dyDescent="0.45">
      <c r="A8" s="26" t="s">
        <v>29</v>
      </c>
      <c r="B8" s="26"/>
      <c r="C8" s="26"/>
      <c r="D8" s="26"/>
      <c r="E8" s="26"/>
      <c r="F8" s="26"/>
      <c r="G8" s="26"/>
    </row>
    <row r="9" spans="1:7" x14ac:dyDescent="0.45">
      <c r="A9" s="26" t="s">
        <v>17</v>
      </c>
      <c r="B9" s="26"/>
      <c r="C9" s="26"/>
      <c r="D9" s="26"/>
      <c r="E9" s="26"/>
      <c r="F9" s="26"/>
      <c r="G9" s="26"/>
    </row>
    <row r="10" spans="1:7" x14ac:dyDescent="0.45">
      <c r="A10" s="26" t="s">
        <v>3</v>
      </c>
      <c r="B10" s="26">
        <v>10</v>
      </c>
      <c r="C10" s="26">
        <v>100</v>
      </c>
      <c r="D10" s="26">
        <v>1000</v>
      </c>
      <c r="E10" s="26">
        <v>10000</v>
      </c>
      <c r="F10" s="26">
        <v>100000</v>
      </c>
      <c r="G10" s="26">
        <v>1000000</v>
      </c>
    </row>
    <row r="11" spans="1:7" x14ac:dyDescent="0.45">
      <c r="A11" s="26" t="s">
        <v>50</v>
      </c>
      <c r="B11" s="26">
        <v>0.8</v>
      </c>
      <c r="C11" s="26">
        <v>1.8</v>
      </c>
      <c r="D11" s="26">
        <v>33.4</v>
      </c>
      <c r="E11" s="26">
        <v>467.1</v>
      </c>
      <c r="F11" s="26">
        <v>62800.4</v>
      </c>
      <c r="G11" s="26">
        <v>1450258.6</v>
      </c>
    </row>
    <row r="12" spans="1:7" x14ac:dyDescent="0.45">
      <c r="A12" s="26" t="s">
        <v>51</v>
      </c>
      <c r="B12" s="26">
        <v>9</v>
      </c>
      <c r="C12" s="26">
        <v>99</v>
      </c>
      <c r="D12" s="26">
        <v>999</v>
      </c>
      <c r="E12" s="26">
        <v>9999</v>
      </c>
      <c r="F12" s="26">
        <v>99999</v>
      </c>
      <c r="G12" s="26">
        <v>999999</v>
      </c>
    </row>
    <row r="13" spans="1:7" x14ac:dyDescent="0.45">
      <c r="A13" s="26" t="s">
        <v>52</v>
      </c>
      <c r="B13" s="26">
        <v>49990.5</v>
      </c>
      <c r="C13" s="26">
        <v>5003955</v>
      </c>
      <c r="D13" s="26">
        <v>500444550</v>
      </c>
      <c r="E13" s="26">
        <v>50044945500</v>
      </c>
      <c r="F13" s="26">
        <v>4999950000</v>
      </c>
      <c r="G13" s="26">
        <v>499999500000</v>
      </c>
    </row>
    <row r="15" spans="1:7" x14ac:dyDescent="0.45">
      <c r="A15" s="26" t="s">
        <v>30</v>
      </c>
      <c r="B15" s="26"/>
      <c r="C15" s="26"/>
      <c r="D15" s="26"/>
      <c r="E15" s="26"/>
      <c r="F15" s="26"/>
      <c r="G15" s="26"/>
    </row>
    <row r="16" spans="1:7" x14ac:dyDescent="0.45">
      <c r="A16" s="26" t="s">
        <v>17</v>
      </c>
      <c r="B16" s="26"/>
      <c r="C16" s="26"/>
      <c r="D16" s="26"/>
      <c r="E16" s="26"/>
      <c r="F16" s="26"/>
      <c r="G16" s="26"/>
    </row>
    <row r="17" spans="1:7" x14ac:dyDescent="0.45">
      <c r="A17" s="26" t="s">
        <v>37</v>
      </c>
      <c r="B17" s="26">
        <v>10</v>
      </c>
      <c r="C17" s="26">
        <v>100</v>
      </c>
      <c r="D17" s="26">
        <v>1000</v>
      </c>
      <c r="E17" s="26">
        <v>10000</v>
      </c>
      <c r="F17" s="26">
        <v>100000</v>
      </c>
      <c r="G17" s="26">
        <v>1000000</v>
      </c>
    </row>
    <row r="18" spans="1:7" x14ac:dyDescent="0.45">
      <c r="A18" s="26" t="s">
        <v>38</v>
      </c>
      <c r="B18" s="26">
        <v>1.2</v>
      </c>
      <c r="C18" s="26">
        <v>0.3</v>
      </c>
      <c r="D18" s="26">
        <v>42.1</v>
      </c>
      <c r="E18" s="26">
        <v>777.7</v>
      </c>
      <c r="F18" s="26">
        <v>34517.1</v>
      </c>
      <c r="G18" s="26">
        <v>3076937.1</v>
      </c>
    </row>
    <row r="19" spans="1:7" x14ac:dyDescent="0.45">
      <c r="A19" s="26" t="s">
        <v>39</v>
      </c>
      <c r="B19" s="26">
        <v>21.1</v>
      </c>
      <c r="C19" s="26">
        <v>2465.5</v>
      </c>
      <c r="D19" s="26">
        <v>2698921.3</v>
      </c>
      <c r="E19" s="26">
        <v>22747973.699999999</v>
      </c>
      <c r="F19" s="26">
        <v>2470254556.9000001</v>
      </c>
      <c r="G19" s="26">
        <v>247500727304.20001</v>
      </c>
    </row>
    <row r="20" spans="1:7" x14ac:dyDescent="0.45">
      <c r="A20" s="26" t="s">
        <v>40</v>
      </c>
      <c r="B20" s="26">
        <v>25029.200000000001</v>
      </c>
      <c r="C20" s="26">
        <v>2488980.9</v>
      </c>
      <c r="D20" s="26">
        <v>248328652.09999999</v>
      </c>
      <c r="E20" s="26">
        <v>24762037447.700001</v>
      </c>
      <c r="F20" s="26">
        <v>2476732319.6999998</v>
      </c>
      <c r="G20" s="26">
        <v>219983106158.77777</v>
      </c>
    </row>
    <row r="22" spans="1:7" x14ac:dyDescent="0.45">
      <c r="A22" s="26" t="s">
        <v>31</v>
      </c>
      <c r="B22" s="26"/>
      <c r="C22" s="26"/>
      <c r="D22" s="26"/>
      <c r="E22" s="26"/>
      <c r="F22" s="26"/>
      <c r="G22" s="26"/>
    </row>
    <row r="23" spans="1:7" x14ac:dyDescent="0.45">
      <c r="A23" s="26" t="s">
        <v>17</v>
      </c>
      <c r="B23" s="26"/>
      <c r="C23" s="26"/>
      <c r="D23" s="26"/>
      <c r="E23" s="26"/>
      <c r="F23" s="26"/>
      <c r="G23" s="26"/>
    </row>
    <row r="24" spans="1:7" x14ac:dyDescent="0.45">
      <c r="A24" s="26" t="s">
        <v>3</v>
      </c>
      <c r="B24" s="42">
        <v>10</v>
      </c>
      <c r="C24" s="42">
        <v>100</v>
      </c>
      <c r="D24" s="42">
        <v>1000</v>
      </c>
      <c r="E24" s="42">
        <v>10000</v>
      </c>
      <c r="F24" s="42">
        <v>100000</v>
      </c>
      <c r="G24" s="42">
        <v>1000000</v>
      </c>
    </row>
    <row r="25" spans="1:7" x14ac:dyDescent="0.45">
      <c r="A25" s="26" t="s">
        <v>41</v>
      </c>
      <c r="B25" s="42">
        <v>1.8</v>
      </c>
      <c r="C25" s="42">
        <v>0.5</v>
      </c>
      <c r="D25" s="42">
        <v>5.4</v>
      </c>
      <c r="E25" s="42">
        <v>19.600000000000001</v>
      </c>
      <c r="F25" s="42">
        <v>131.1</v>
      </c>
      <c r="G25" s="42">
        <v>828.8</v>
      </c>
    </row>
    <row r="26" spans="1:7" x14ac:dyDescent="0.45">
      <c r="A26" s="26" t="s">
        <v>42</v>
      </c>
      <c r="B26" s="42">
        <v>455</v>
      </c>
      <c r="C26" s="42">
        <v>281.2</v>
      </c>
      <c r="D26" s="42">
        <v>4391.6000000000004</v>
      </c>
      <c r="E26" s="42">
        <v>61355.6</v>
      </c>
      <c r="F26" s="42">
        <v>776437.3</v>
      </c>
      <c r="G26" s="42">
        <v>9395200.5999999996</v>
      </c>
    </row>
    <row r="27" spans="1:7" x14ac:dyDescent="0.45">
      <c r="A27" s="26" t="s">
        <v>43</v>
      </c>
      <c r="B27" s="42">
        <v>894.1</v>
      </c>
      <c r="C27" s="42">
        <v>12530.5</v>
      </c>
      <c r="D27" s="42">
        <v>161459.70000000001</v>
      </c>
      <c r="E27" s="42">
        <v>1975890.2</v>
      </c>
      <c r="F27" s="42">
        <v>1536354.4</v>
      </c>
      <c r="G27" s="42">
        <v>18674382.888888888</v>
      </c>
    </row>
    <row r="29" spans="1:7" x14ac:dyDescent="0.45">
      <c r="A29" s="26" t="s">
        <v>32</v>
      </c>
      <c r="B29" s="26"/>
      <c r="C29" s="26"/>
      <c r="D29" s="26"/>
      <c r="E29" s="26"/>
      <c r="F29" s="26"/>
      <c r="G29" s="26"/>
    </row>
    <row r="30" spans="1:7" x14ac:dyDescent="0.45">
      <c r="A30" s="26" t="s">
        <v>17</v>
      </c>
      <c r="B30" s="26"/>
      <c r="C30" s="26"/>
      <c r="D30" s="26"/>
      <c r="E30" s="26"/>
      <c r="F30" s="26"/>
      <c r="G30" s="26"/>
    </row>
    <row r="31" spans="1:7" x14ac:dyDescent="0.45">
      <c r="A31" s="26" t="s">
        <v>3</v>
      </c>
      <c r="B31" s="26">
        <v>10</v>
      </c>
      <c r="C31" s="26">
        <v>100</v>
      </c>
      <c r="D31" s="26">
        <v>1000</v>
      </c>
      <c r="E31" s="26">
        <v>10000</v>
      </c>
      <c r="F31" s="26">
        <v>100000</v>
      </c>
      <c r="G31" s="26">
        <v>1000000</v>
      </c>
    </row>
    <row r="32" spans="1:7" x14ac:dyDescent="0.45">
      <c r="A32" s="26" t="s">
        <v>44</v>
      </c>
      <c r="B32" s="26">
        <v>0</v>
      </c>
      <c r="C32" s="26">
        <v>0.3</v>
      </c>
      <c r="D32" s="26">
        <v>2.2999999999999998</v>
      </c>
      <c r="E32" s="26">
        <v>7.1</v>
      </c>
      <c r="F32" s="26">
        <v>32.5</v>
      </c>
      <c r="G32" s="26">
        <v>199</v>
      </c>
    </row>
    <row r="33" spans="1:7" x14ac:dyDescent="0.45">
      <c r="A33" s="26" t="s">
        <v>45</v>
      </c>
      <c r="B33" s="26">
        <v>18.2</v>
      </c>
      <c r="C33" s="26">
        <v>403.3</v>
      </c>
      <c r="D33" s="26">
        <v>6169</v>
      </c>
      <c r="E33" s="26">
        <v>86020.4</v>
      </c>
      <c r="F33" s="26">
        <v>1108697.3</v>
      </c>
      <c r="G33" s="26">
        <v>13489906.4</v>
      </c>
    </row>
    <row r="34" spans="1:7" x14ac:dyDescent="0.45">
      <c r="A34" s="26" t="s">
        <v>46</v>
      </c>
      <c r="B34" s="26">
        <v>1171.0999999999999</v>
      </c>
      <c r="C34" s="26">
        <v>17243.5</v>
      </c>
      <c r="D34" s="26">
        <v>217247.5</v>
      </c>
      <c r="E34" s="26">
        <v>2856761.2</v>
      </c>
      <c r="F34" s="26">
        <v>2144724.4</v>
      </c>
      <c r="G34" s="26">
        <v>25978646.111111112</v>
      </c>
    </row>
    <row r="36" spans="1:7" x14ac:dyDescent="0.45">
      <c r="A36" s="26" t="s">
        <v>33</v>
      </c>
      <c r="B36" s="26"/>
      <c r="C36" s="26"/>
      <c r="D36" s="26"/>
      <c r="E36" s="26"/>
      <c r="F36" s="26"/>
      <c r="G36" s="26"/>
    </row>
    <row r="37" spans="1:7" x14ac:dyDescent="0.45">
      <c r="A37" s="26" t="s">
        <v>17</v>
      </c>
      <c r="B37" s="26"/>
      <c r="C37" s="26"/>
      <c r="D37" s="26"/>
      <c r="E37" s="26"/>
      <c r="F37" s="26"/>
      <c r="G37" s="26"/>
    </row>
    <row r="38" spans="1:7" x14ac:dyDescent="0.45">
      <c r="A38" s="26" t="s">
        <v>3</v>
      </c>
      <c r="B38" s="26">
        <v>10</v>
      </c>
      <c r="C38" s="26">
        <v>100</v>
      </c>
      <c r="D38" s="26">
        <v>1000</v>
      </c>
      <c r="E38" s="26">
        <v>10000</v>
      </c>
      <c r="F38" s="26">
        <v>100000</v>
      </c>
      <c r="G38" s="26">
        <v>1000000</v>
      </c>
    </row>
    <row r="39" spans="1:7" x14ac:dyDescent="0.45">
      <c r="A39" s="26" t="s">
        <v>47</v>
      </c>
      <c r="B39" s="26">
        <v>0</v>
      </c>
      <c r="C39" s="26">
        <v>0.8</v>
      </c>
      <c r="D39" s="26">
        <v>1.8</v>
      </c>
      <c r="E39" s="26">
        <v>9.8000000000000007</v>
      </c>
      <c r="F39" s="26">
        <v>58.2</v>
      </c>
      <c r="G39" s="26">
        <v>341.6</v>
      </c>
    </row>
    <row r="40" spans="1:7" x14ac:dyDescent="0.45">
      <c r="A40" s="26" t="s">
        <v>48</v>
      </c>
      <c r="B40" s="26">
        <v>27.8</v>
      </c>
      <c r="C40" s="26">
        <v>581.70000000000005</v>
      </c>
      <c r="D40" s="26">
        <v>20658.3</v>
      </c>
      <c r="E40" s="26">
        <v>269727</v>
      </c>
      <c r="F40" s="26">
        <v>3326971.7</v>
      </c>
      <c r="G40" s="26">
        <v>19073786.399999999</v>
      </c>
    </row>
    <row r="41" spans="1:7" x14ac:dyDescent="0.45">
      <c r="A41" s="26" t="s">
        <v>49</v>
      </c>
      <c r="B41" s="26">
        <v>1975.6</v>
      </c>
      <c r="C41" s="26">
        <v>27036</v>
      </c>
      <c r="D41" s="26">
        <v>342833.2</v>
      </c>
      <c r="E41" s="26">
        <v>4147652.8</v>
      </c>
      <c r="F41" s="26">
        <v>3254772.8</v>
      </c>
      <c r="G41" s="26">
        <v>39147572.799999997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7420-16D8-456E-B934-F6D19941A9FC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27" t="s">
        <v>4</v>
      </c>
      <c r="B1" s="28"/>
      <c r="C1" s="29"/>
      <c r="D1" s="29"/>
      <c r="E1" s="29"/>
      <c r="F1" s="29"/>
      <c r="G1" s="29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27"/>
      <c r="B2" s="29"/>
      <c r="C2" s="29"/>
      <c r="D2" s="29"/>
      <c r="E2" s="29"/>
      <c r="F2" s="29"/>
      <c r="G2" s="29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27" t="s">
        <v>7</v>
      </c>
      <c r="B3" s="30"/>
      <c r="C3" s="30"/>
      <c r="D3" s="30"/>
      <c r="E3" s="30"/>
      <c r="F3" s="30"/>
      <c r="G3" s="30"/>
      <c r="I3" s="26" t="s">
        <v>0</v>
      </c>
      <c r="J3" s="42">
        <f>AVERAGE(BubbleSort!B5,BubbleSort!B11,BubbleSort!B17,BubbleSort!B23,BubbleSort!B29,BubbleSort!B35,BubbleSort!B41,BubbleSort!B47,BubbleSort!B53,BubbleSort!B59)</f>
        <v>2.2999999999999998</v>
      </c>
      <c r="K3" s="42">
        <f>AVERAGE(BubbleSort!C5,BubbleSort!C11,BubbleSort!C17,BubbleSort!C23,BubbleSort!C29,BubbleSort!C35,BubbleSort!C41,BubbleSort!C47,BubbleSort!C53,BubbleSort!C59)</f>
        <v>0.7</v>
      </c>
      <c r="L3" s="42">
        <f>AVERAGE(BubbleSort!D5,BubbleSort!D11,BubbleSort!D17,BubbleSort!D23,BubbleSort!D29,BubbleSort!D35,BubbleSort!D41,BubbleSort!D47,BubbleSort!D53,BubbleSort!D59)</f>
        <v>48</v>
      </c>
      <c r="M3" s="42">
        <f>AVERAGE(BubbleSort!E5,BubbleSort!E11,BubbleSort!E17,BubbleSort!E23,BubbleSort!E29,BubbleSort!E35,BubbleSort!E41,BubbleSort!E47,BubbleSort!E53,BubbleSort!E59)</f>
        <v>392.5</v>
      </c>
      <c r="N3" s="42">
        <f>AVERAGE(BubbleSort!F5,BubbleSort!F11,BubbleSort!F17,BubbleSort!F23,BubbleSort!F29,BubbleSort!F35,BubbleSort!F41,BubbleSort!F47,BubbleSort!F53,BubbleSort!F59)</f>
        <v>55806</v>
      </c>
      <c r="O3" s="42">
        <f>AVERAGE(BubbleSort!G5,BubbleSort!G11,BubbleSort!G17,BubbleSort!G23,BubbleSort!G29,BubbleSort!G35,BubbleSort!G41,BubbleSort!G47,BubbleSort!G53,BubbleSort!G59)</f>
        <v>4074918.6</v>
      </c>
    </row>
    <row r="4" spans="1:15" x14ac:dyDescent="0.45">
      <c r="A4" s="30" t="s">
        <v>3</v>
      </c>
      <c r="B4" s="31">
        <v>10</v>
      </c>
      <c r="C4" s="31">
        <v>100</v>
      </c>
      <c r="D4" s="31">
        <v>1000</v>
      </c>
      <c r="E4" s="31">
        <v>10000</v>
      </c>
      <c r="F4" s="31">
        <v>100000</v>
      </c>
      <c r="G4" s="32">
        <v>1000000</v>
      </c>
      <c r="I4" s="26" t="s">
        <v>1</v>
      </c>
      <c r="J4" s="42">
        <f>AVERAGE(BubbleSort!B6,BubbleSort!B12,BubbleSort!B18,BubbleSort!B24,BubbleSort!B30,BubbleSort!B36,BubbleSort!B42,BubbleSort!B48,BubbleSort!B54,BubbleSort!B60)</f>
        <v>21.1</v>
      </c>
      <c r="K4" s="42">
        <f>AVERAGE(BubbleSort!C6,BubbleSort!C12,BubbleSort!C18,BubbleSort!C24,BubbleSort!C30,BubbleSort!C36,BubbleSort!C42,BubbleSort!C48,BubbleSort!C54,BubbleSort!C60)</f>
        <v>2465.4</v>
      </c>
      <c r="L4" s="42">
        <f>AVERAGE(BubbleSort!D6,BubbleSort!D12,BubbleSort!D18,BubbleSort!D24,BubbleSort!D30,BubbleSort!D36,BubbleSort!D42,BubbleSort!D48,BubbleSort!D54,BubbleSort!D60)</f>
        <v>2698921.3</v>
      </c>
      <c r="M4" s="42">
        <f>AVERAGE(BubbleSort!E6,BubbleSort!E12,BubbleSort!E18,BubbleSort!E24,BubbleSort!E30,BubbleSort!E36,BubbleSort!E42,BubbleSort!E48,BubbleSort!E54,BubbleSort!E60)</f>
        <v>22747973.699999999</v>
      </c>
      <c r="N4" s="42">
        <f>AVERAGE(BubbleSort!F6,BubbleSort!F12,BubbleSort!F18,BubbleSort!F24,BubbleSort!F30,BubbleSort!F36,BubbleSort!F42,BubbleSort!F48,BubbleSort!F54,BubbleSort!F60)</f>
        <v>2470254556.9000001</v>
      </c>
      <c r="O4" s="42">
        <f>AVERAGE(BubbleSort!G6,BubbleSort!G12,BubbleSort!G18,BubbleSort!G24,BubbleSort!G30,BubbleSort!G36,BubbleSort!G42,BubbleSort!G48,BubbleSort!G54,BubbleSort!G60)</f>
        <v>247444333097.89999</v>
      </c>
    </row>
    <row r="5" spans="1:15" x14ac:dyDescent="0.45">
      <c r="A5" s="30" t="s">
        <v>0</v>
      </c>
      <c r="B5" s="32">
        <v>1</v>
      </c>
      <c r="C5" s="32">
        <v>0</v>
      </c>
      <c r="D5" s="32">
        <v>22</v>
      </c>
      <c r="E5" s="32">
        <v>186</v>
      </c>
      <c r="F5" s="32">
        <v>33075</v>
      </c>
      <c r="G5" s="32">
        <v>3147574</v>
      </c>
      <c r="I5" s="26" t="s">
        <v>2</v>
      </c>
      <c r="J5" s="42">
        <f>AVERAGE(BubbleSort!D7,BubbleSort!B13,BubbleSort!B19,BubbleSort!B25,BubbleSort!B31,BubbleSort!B37,BubbleSort!B43,BubbleSort!B49,BubbleSort!B55,BubbleSort!B61)</f>
        <v>49990.5</v>
      </c>
      <c r="K5" s="42">
        <f>AVERAGE(BubbleSort!E7,BubbleSort!C13,BubbleSort!C19,BubbleSort!C25,BubbleSort!C31,BubbleSort!C37,BubbleSort!C43,BubbleSort!C49,BubbleSort!C55,BubbleSort!C61)</f>
        <v>5003955</v>
      </c>
      <c r="L5" s="42">
        <f>AVERAGE(BubbleSort!F7,BubbleSort!D13,BubbleSort!D19,BubbleSort!D25,BubbleSort!D31,BubbleSort!D37,BubbleSort!D43,BubbleSort!D49,BubbleSort!D55,BubbleSort!D61)</f>
        <v>500444550</v>
      </c>
      <c r="M5" s="42">
        <f>AVERAGE(BubbleSort!G7,BubbleSort!E13,BubbleSort!E19,BubbleSort!E25,BubbleSort!E31,BubbleSort!E37,BubbleSort!E43,BubbleSort!E49,BubbleSort!E55,BubbleSort!E61)</f>
        <v>5000044495500</v>
      </c>
      <c r="N5" s="42">
        <f>AVERAGE(F7,BubbleSort!F13,BubbleSort!F19,BubbleSort!F25,BubbleSort!F31,BubbleSort!F37,BubbleSort!F43,BubbleSort!F49,BubbleSort!F55,BubbleSort!F61)</f>
        <v>4999950000</v>
      </c>
      <c r="O5" s="42">
        <f>AVERAGE(SelectionSort!A7,BubbleSort!G13,BubbleSort!G19,BubbleSort!G25,BubbleSort!G31,BubbleSort!G37,BubbleSort!G43,BubbleSort!G49,BubbleSort!G55,BubbleSort!G61)</f>
        <v>49999995000000</v>
      </c>
    </row>
    <row r="6" spans="1:15" x14ac:dyDescent="0.45">
      <c r="A6" s="30" t="s">
        <v>1</v>
      </c>
      <c r="B6" s="32">
        <v>20</v>
      </c>
      <c r="C6" s="32">
        <v>2534</v>
      </c>
      <c r="D6" s="32">
        <v>252360</v>
      </c>
      <c r="E6" s="32">
        <v>24576245</v>
      </c>
      <c r="F6" s="32">
        <v>2463898384</v>
      </c>
      <c r="G6" s="32">
        <v>247273286303</v>
      </c>
    </row>
    <row r="7" spans="1:15" x14ac:dyDescent="0.45">
      <c r="A7" s="33" t="s">
        <v>2</v>
      </c>
      <c r="B7" s="34">
        <v>45</v>
      </c>
      <c r="C7" s="34">
        <v>4950</v>
      </c>
      <c r="D7" s="34">
        <v>499500</v>
      </c>
      <c r="E7" s="34">
        <v>49995000</v>
      </c>
      <c r="F7" s="32">
        <v>4999950000</v>
      </c>
      <c r="G7" s="32">
        <v>49999995000000</v>
      </c>
    </row>
    <row r="8" spans="1:15" x14ac:dyDescent="0.45">
      <c r="A8" s="35"/>
      <c r="B8" s="36"/>
      <c r="C8" s="37"/>
      <c r="D8" s="37"/>
      <c r="E8" s="37"/>
      <c r="F8" s="37"/>
      <c r="G8" s="41"/>
    </row>
    <row r="9" spans="1:15" x14ac:dyDescent="0.45">
      <c r="A9" s="38" t="s">
        <v>8</v>
      </c>
      <c r="B9" s="30"/>
      <c r="C9" s="30"/>
      <c r="D9" s="30"/>
      <c r="E9" s="30"/>
      <c r="F9" s="30"/>
      <c r="G9" s="32"/>
    </row>
    <row r="10" spans="1:15" x14ac:dyDescent="0.45">
      <c r="A10" s="30" t="s">
        <v>3</v>
      </c>
      <c r="B10" s="31">
        <v>10</v>
      </c>
      <c r="C10" s="31">
        <v>100</v>
      </c>
      <c r="D10" s="31">
        <v>1000</v>
      </c>
      <c r="E10" s="31">
        <v>10000</v>
      </c>
      <c r="F10" s="31">
        <v>100000</v>
      </c>
      <c r="G10" s="32">
        <v>1000000</v>
      </c>
    </row>
    <row r="11" spans="1:15" x14ac:dyDescent="0.45">
      <c r="A11" s="30" t="s">
        <v>0</v>
      </c>
      <c r="B11" s="32">
        <v>0</v>
      </c>
      <c r="C11" s="32">
        <v>1</v>
      </c>
      <c r="D11" s="32">
        <v>25</v>
      </c>
      <c r="E11" s="32">
        <v>224</v>
      </c>
      <c r="F11" s="32">
        <v>31036</v>
      </c>
      <c r="G11" s="32">
        <v>3284264</v>
      </c>
    </row>
    <row r="12" spans="1:15" x14ac:dyDescent="0.45">
      <c r="A12" s="30" t="s">
        <v>1</v>
      </c>
      <c r="B12" s="32">
        <v>16</v>
      </c>
      <c r="C12" s="32">
        <v>2575</v>
      </c>
      <c r="D12" s="32">
        <v>24745920</v>
      </c>
      <c r="E12" s="32">
        <v>4745920</v>
      </c>
      <c r="F12" s="32">
        <v>2470485380</v>
      </c>
      <c r="G12" s="32">
        <v>247599642830</v>
      </c>
    </row>
    <row r="13" spans="1:15" x14ac:dyDescent="0.45">
      <c r="A13" s="30" t="s">
        <v>2</v>
      </c>
      <c r="B13" s="34">
        <v>45</v>
      </c>
      <c r="C13" s="34">
        <v>4950</v>
      </c>
      <c r="D13" s="34">
        <v>499500</v>
      </c>
      <c r="E13" s="34">
        <v>49995000</v>
      </c>
      <c r="F13" s="34">
        <v>4999950000</v>
      </c>
      <c r="G13" s="32">
        <v>49999995000000</v>
      </c>
    </row>
    <row r="14" spans="1:15" x14ac:dyDescent="0.45">
      <c r="A14" s="35"/>
      <c r="B14" s="39"/>
      <c r="C14" s="35"/>
      <c r="D14" s="35"/>
      <c r="E14" s="35"/>
      <c r="F14" s="35"/>
      <c r="G14" s="41"/>
    </row>
    <row r="15" spans="1:15" x14ac:dyDescent="0.45">
      <c r="A15" s="30" t="s">
        <v>9</v>
      </c>
      <c r="B15" s="30"/>
      <c r="C15" s="30"/>
      <c r="D15" s="30"/>
      <c r="E15" s="30"/>
      <c r="F15" s="30"/>
      <c r="G15" s="32"/>
    </row>
    <row r="16" spans="1:15" x14ac:dyDescent="0.45">
      <c r="A16" s="30" t="s">
        <v>3</v>
      </c>
      <c r="B16" s="32">
        <v>10</v>
      </c>
      <c r="C16" s="32">
        <v>100</v>
      </c>
      <c r="D16" s="32">
        <v>1000</v>
      </c>
      <c r="E16" s="32">
        <v>10000</v>
      </c>
      <c r="F16" s="32">
        <v>100000</v>
      </c>
      <c r="G16" s="32">
        <v>1000000</v>
      </c>
    </row>
    <row r="17" spans="1:15" x14ac:dyDescent="0.45">
      <c r="A17" s="30" t="s">
        <v>0</v>
      </c>
      <c r="B17" s="32">
        <v>2</v>
      </c>
      <c r="C17" s="32">
        <v>1</v>
      </c>
      <c r="D17" s="32">
        <v>69</v>
      </c>
      <c r="E17" s="32">
        <v>462</v>
      </c>
      <c r="F17" s="32">
        <v>56051</v>
      </c>
      <c r="G17" s="32">
        <v>3158935</v>
      </c>
    </row>
    <row r="18" spans="1:15" x14ac:dyDescent="0.45">
      <c r="A18" s="30" t="s">
        <v>1</v>
      </c>
      <c r="B18" s="32">
        <v>29</v>
      </c>
      <c r="C18" s="32">
        <v>2217</v>
      </c>
      <c r="D18" s="32">
        <v>251647</v>
      </c>
      <c r="E18" s="32">
        <v>24857018</v>
      </c>
      <c r="F18" s="32">
        <v>2478976078</v>
      </c>
      <c r="G18" s="32">
        <v>247470586576</v>
      </c>
    </row>
    <row r="19" spans="1:15" x14ac:dyDescent="0.45">
      <c r="A19" s="30" t="s">
        <v>2</v>
      </c>
      <c r="B19" s="34">
        <v>45</v>
      </c>
      <c r="C19" s="34">
        <v>4950</v>
      </c>
      <c r="D19" s="34">
        <v>499500</v>
      </c>
      <c r="E19" s="34">
        <v>49995000</v>
      </c>
      <c r="F19" s="34">
        <v>4999950000</v>
      </c>
      <c r="G19" s="32">
        <v>49999995000000</v>
      </c>
    </row>
    <row r="20" spans="1:15" x14ac:dyDescent="0.45">
      <c r="A20" s="35"/>
      <c r="B20" s="39"/>
      <c r="C20" s="35"/>
      <c r="D20" s="35"/>
      <c r="E20" s="35"/>
      <c r="F20" s="35"/>
      <c r="G20" s="41"/>
    </row>
    <row r="21" spans="1:15" x14ac:dyDescent="0.45">
      <c r="A21" s="30" t="s">
        <v>10</v>
      </c>
      <c r="B21" s="30"/>
      <c r="C21" s="30"/>
      <c r="D21" s="30"/>
      <c r="E21" s="30"/>
      <c r="F21" s="30"/>
      <c r="G21" s="32"/>
    </row>
    <row r="22" spans="1:15" x14ac:dyDescent="0.45">
      <c r="A22" s="30" t="s">
        <v>3</v>
      </c>
      <c r="B22" s="32">
        <v>10</v>
      </c>
      <c r="C22" s="32">
        <v>100</v>
      </c>
      <c r="D22" s="32">
        <v>1000</v>
      </c>
      <c r="E22" s="32">
        <v>10000</v>
      </c>
      <c r="F22" s="32">
        <v>100000</v>
      </c>
      <c r="G22" s="32">
        <v>1000000</v>
      </c>
    </row>
    <row r="23" spans="1:15" x14ac:dyDescent="0.45">
      <c r="A23" s="30" t="s">
        <v>0</v>
      </c>
      <c r="B23" s="32">
        <v>1</v>
      </c>
      <c r="C23" s="32">
        <v>0</v>
      </c>
      <c r="D23" s="32">
        <v>109</v>
      </c>
      <c r="E23" s="32">
        <v>843</v>
      </c>
      <c r="F23" s="32">
        <v>76640</v>
      </c>
      <c r="G23" s="32">
        <v>3219267</v>
      </c>
    </row>
    <row r="24" spans="1:15" x14ac:dyDescent="0.45">
      <c r="A24" s="30" t="s">
        <v>1</v>
      </c>
      <c r="B24" s="32">
        <v>14</v>
      </c>
      <c r="C24" s="32">
        <v>2553</v>
      </c>
      <c r="D24" s="32">
        <v>253151</v>
      </c>
      <c r="E24" s="32">
        <v>24795077</v>
      </c>
      <c r="F24" s="32">
        <v>2475410164</v>
      </c>
      <c r="G24" s="32">
        <v>247363571736</v>
      </c>
      <c r="I24" s="26" t="s">
        <v>21</v>
      </c>
      <c r="J24" s="26"/>
      <c r="K24" s="26"/>
      <c r="L24" s="26"/>
      <c r="M24" s="26"/>
      <c r="N24" s="26"/>
      <c r="O24" s="26"/>
    </row>
    <row r="25" spans="1:15" x14ac:dyDescent="0.45">
      <c r="A25" s="30" t="s">
        <v>2</v>
      </c>
      <c r="B25" s="34">
        <v>45</v>
      </c>
      <c r="C25" s="34">
        <v>4950</v>
      </c>
      <c r="D25" s="34">
        <v>499500</v>
      </c>
      <c r="E25" s="34">
        <v>49995000</v>
      </c>
      <c r="F25" s="34">
        <v>4999950000</v>
      </c>
      <c r="G25" s="32">
        <v>49999995000000</v>
      </c>
      <c r="I25" s="26" t="s">
        <v>3</v>
      </c>
      <c r="J25" s="42">
        <v>10</v>
      </c>
      <c r="K25" s="42">
        <v>100</v>
      </c>
      <c r="L25" s="42">
        <v>1000</v>
      </c>
      <c r="M25" s="42">
        <v>10000</v>
      </c>
      <c r="N25" s="42">
        <v>100000</v>
      </c>
      <c r="O25" s="42">
        <v>1000000</v>
      </c>
    </row>
    <row r="26" spans="1:15" x14ac:dyDescent="0.45">
      <c r="A26" s="35"/>
      <c r="B26" s="39"/>
      <c r="C26" s="35"/>
      <c r="D26" s="35"/>
      <c r="E26" s="35"/>
      <c r="F26" s="35"/>
      <c r="G26" s="41"/>
      <c r="I26" s="26" t="s">
        <v>0</v>
      </c>
      <c r="J26" s="42">
        <v>2</v>
      </c>
      <c r="K26" s="42">
        <v>1</v>
      </c>
      <c r="L26" s="42">
        <v>69</v>
      </c>
      <c r="M26" s="42">
        <v>462</v>
      </c>
      <c r="N26" s="42">
        <v>56051</v>
      </c>
      <c r="O26" s="42">
        <v>3158935</v>
      </c>
    </row>
    <row r="27" spans="1:15" x14ac:dyDescent="0.45">
      <c r="A27" s="30" t="s">
        <v>11</v>
      </c>
      <c r="B27" s="30"/>
      <c r="C27" s="30"/>
      <c r="D27" s="30"/>
      <c r="E27" s="30"/>
      <c r="F27" s="30"/>
      <c r="G27" s="32"/>
      <c r="I27" s="26" t="s">
        <v>1</v>
      </c>
      <c r="J27" s="42">
        <v>29</v>
      </c>
      <c r="K27" s="42">
        <v>2217</v>
      </c>
      <c r="L27" s="42">
        <v>251647</v>
      </c>
      <c r="M27" s="42">
        <v>24857018</v>
      </c>
      <c r="N27" s="42">
        <v>2478976078</v>
      </c>
      <c r="O27" s="42">
        <v>247470586576</v>
      </c>
    </row>
    <row r="28" spans="1:15" x14ac:dyDescent="0.45">
      <c r="A28" s="30" t="s">
        <v>3</v>
      </c>
      <c r="B28" s="32">
        <v>10</v>
      </c>
      <c r="C28" s="32">
        <v>100</v>
      </c>
      <c r="D28" s="32">
        <v>1000</v>
      </c>
      <c r="E28" s="32">
        <v>10000</v>
      </c>
      <c r="F28" s="32">
        <v>100000</v>
      </c>
      <c r="G28" s="32">
        <v>1000000</v>
      </c>
      <c r="I28" s="26" t="s">
        <v>2</v>
      </c>
      <c r="J28" s="42">
        <v>45</v>
      </c>
      <c r="K28" s="42">
        <v>4950</v>
      </c>
      <c r="L28" s="42">
        <v>499500</v>
      </c>
      <c r="M28" s="42">
        <v>49995000</v>
      </c>
      <c r="N28" s="42">
        <v>4999950000</v>
      </c>
      <c r="O28" s="42">
        <v>49999995000000</v>
      </c>
    </row>
    <row r="29" spans="1:15" x14ac:dyDescent="0.45">
      <c r="A29" s="30" t="s">
        <v>0</v>
      </c>
      <c r="B29" s="32">
        <v>1</v>
      </c>
      <c r="C29" s="32">
        <v>0</v>
      </c>
      <c r="D29" s="32">
        <v>64</v>
      </c>
      <c r="E29" s="32">
        <v>444</v>
      </c>
      <c r="F29" s="32">
        <v>76659</v>
      </c>
      <c r="G29" s="32">
        <v>3254550</v>
      </c>
    </row>
    <row r="30" spans="1:15" x14ac:dyDescent="0.45">
      <c r="A30" s="30" t="s">
        <v>1</v>
      </c>
      <c r="B30" s="32">
        <v>13</v>
      </c>
      <c r="C30" s="32">
        <v>2459</v>
      </c>
      <c r="D30" s="32">
        <v>248725</v>
      </c>
      <c r="E30" s="32">
        <v>24906899</v>
      </c>
      <c r="F30" s="32">
        <v>2475256811</v>
      </c>
      <c r="G30" s="32">
        <v>247561366440</v>
      </c>
    </row>
    <row r="31" spans="1:15" x14ac:dyDescent="0.45">
      <c r="A31" s="30" t="s">
        <v>2</v>
      </c>
      <c r="B31" s="34">
        <v>45</v>
      </c>
      <c r="C31" s="34">
        <v>4950</v>
      </c>
      <c r="D31" s="34">
        <v>499500</v>
      </c>
      <c r="E31" s="34">
        <v>49995000</v>
      </c>
      <c r="F31" s="34">
        <v>4999950000</v>
      </c>
      <c r="G31" s="32">
        <v>49999995000000</v>
      </c>
    </row>
    <row r="32" spans="1:15" x14ac:dyDescent="0.45">
      <c r="A32" s="35"/>
      <c r="B32" s="39"/>
      <c r="C32" s="35"/>
      <c r="D32" s="35"/>
      <c r="E32" s="35"/>
      <c r="F32" s="35"/>
      <c r="G32" s="41"/>
    </row>
    <row r="33" spans="1:15" x14ac:dyDescent="0.45">
      <c r="A33" s="30" t="s">
        <v>12</v>
      </c>
      <c r="B33" s="30"/>
      <c r="C33" s="30"/>
      <c r="D33" s="30"/>
      <c r="E33" s="30"/>
      <c r="F33" s="30"/>
      <c r="G33" s="32"/>
    </row>
    <row r="34" spans="1:15" x14ac:dyDescent="0.45">
      <c r="A34" s="30" t="s">
        <v>3</v>
      </c>
      <c r="B34" s="32">
        <v>10</v>
      </c>
      <c r="C34" s="32">
        <v>100</v>
      </c>
      <c r="D34" s="32">
        <v>1000</v>
      </c>
      <c r="E34" s="32">
        <v>10000</v>
      </c>
      <c r="F34" s="32">
        <v>100000</v>
      </c>
      <c r="G34" s="32">
        <v>1000000</v>
      </c>
    </row>
    <row r="35" spans="1:15" x14ac:dyDescent="0.45">
      <c r="A35" s="30" t="s">
        <v>0</v>
      </c>
      <c r="B35" s="32">
        <v>1</v>
      </c>
      <c r="C35" s="32">
        <v>0</v>
      </c>
      <c r="D35" s="32">
        <v>22</v>
      </c>
      <c r="E35" s="32">
        <v>167</v>
      </c>
      <c r="F35" s="32">
        <v>30005</v>
      </c>
      <c r="G35" s="32">
        <v>3126709</v>
      </c>
    </row>
    <row r="36" spans="1:15" x14ac:dyDescent="0.45">
      <c r="A36" s="30" t="s">
        <v>1</v>
      </c>
      <c r="B36" s="32">
        <v>18</v>
      </c>
      <c r="C36" s="32">
        <v>2218</v>
      </c>
      <c r="D36" s="32">
        <v>247729</v>
      </c>
      <c r="E36" s="32">
        <v>24419431</v>
      </c>
      <c r="F36" s="32">
        <v>2461791067</v>
      </c>
      <c r="G36" s="32">
        <v>247291479589</v>
      </c>
    </row>
    <row r="37" spans="1:15" x14ac:dyDescent="0.45">
      <c r="A37" s="30" t="s">
        <v>2</v>
      </c>
      <c r="B37" s="34">
        <v>45</v>
      </c>
      <c r="C37" s="34">
        <v>4950</v>
      </c>
      <c r="D37" s="34">
        <v>499500</v>
      </c>
      <c r="E37" s="34">
        <v>49995000</v>
      </c>
      <c r="F37" s="34">
        <v>4999950000</v>
      </c>
      <c r="G37" s="32">
        <v>49999995000000</v>
      </c>
    </row>
    <row r="38" spans="1:15" x14ac:dyDescent="0.45">
      <c r="A38" s="35"/>
      <c r="B38" s="39"/>
      <c r="C38" s="35"/>
      <c r="D38" s="35"/>
      <c r="E38" s="35"/>
      <c r="F38" s="35"/>
      <c r="G38" s="41"/>
    </row>
    <row r="39" spans="1:15" x14ac:dyDescent="0.45">
      <c r="A39" s="30" t="s">
        <v>13</v>
      </c>
      <c r="B39" s="30"/>
      <c r="C39" s="30"/>
      <c r="D39" s="30"/>
      <c r="E39" s="30"/>
      <c r="F39" s="30"/>
      <c r="G39" s="32"/>
    </row>
    <row r="40" spans="1:15" x14ac:dyDescent="0.45">
      <c r="A40" s="30" t="s">
        <v>3</v>
      </c>
      <c r="B40" s="32">
        <v>10</v>
      </c>
      <c r="C40" s="32">
        <v>100</v>
      </c>
      <c r="D40" s="32">
        <v>1000</v>
      </c>
      <c r="E40" s="32">
        <v>10000</v>
      </c>
      <c r="F40" s="32">
        <v>100000</v>
      </c>
      <c r="G40" s="32">
        <v>1000000</v>
      </c>
    </row>
    <row r="41" spans="1:15" x14ac:dyDescent="0.45">
      <c r="A41" s="30" t="s">
        <v>0</v>
      </c>
      <c r="B41" s="32">
        <v>0</v>
      </c>
      <c r="C41" s="32">
        <v>0</v>
      </c>
      <c r="D41" s="32">
        <v>22</v>
      </c>
      <c r="E41" s="32">
        <v>244</v>
      </c>
      <c r="F41" s="32">
        <v>37623</v>
      </c>
      <c r="G41" s="32">
        <v>7015290</v>
      </c>
    </row>
    <row r="42" spans="1:15" x14ac:dyDescent="0.45">
      <c r="A42" s="30" t="s">
        <v>1</v>
      </c>
      <c r="B42" s="32">
        <v>31</v>
      </c>
      <c r="C42" s="32">
        <v>2476</v>
      </c>
      <c r="D42" s="32">
        <v>243002</v>
      </c>
      <c r="E42" s="32">
        <v>24736817</v>
      </c>
      <c r="F42" s="32">
        <v>2468310878</v>
      </c>
      <c r="G42" s="32">
        <v>247499748700</v>
      </c>
    </row>
    <row r="43" spans="1:15" x14ac:dyDescent="0.45">
      <c r="A43" s="30" t="s">
        <v>2</v>
      </c>
      <c r="B43" s="34">
        <v>45</v>
      </c>
      <c r="C43" s="34">
        <v>4950</v>
      </c>
      <c r="D43" s="34">
        <v>499500</v>
      </c>
      <c r="E43" s="34">
        <v>49995000</v>
      </c>
      <c r="F43" s="34">
        <v>4999950000</v>
      </c>
      <c r="G43" s="32">
        <v>49999995000000</v>
      </c>
    </row>
    <row r="44" spans="1:15" x14ac:dyDescent="0.45">
      <c r="A44" s="35"/>
      <c r="B44" s="39"/>
      <c r="C44" s="35"/>
      <c r="D44" s="35"/>
      <c r="E44" s="35"/>
      <c r="F44" s="35"/>
      <c r="G44" s="41"/>
    </row>
    <row r="45" spans="1:15" x14ac:dyDescent="0.45">
      <c r="A45" s="30" t="s">
        <v>14</v>
      </c>
      <c r="B45" s="30"/>
      <c r="C45" s="30"/>
      <c r="D45" s="30"/>
      <c r="E45" s="30"/>
      <c r="F45" s="30"/>
      <c r="G45" s="32"/>
    </row>
    <row r="46" spans="1:15" x14ac:dyDescent="0.45">
      <c r="A46" s="30" t="s">
        <v>3</v>
      </c>
      <c r="B46" s="32">
        <v>10</v>
      </c>
      <c r="C46" s="32">
        <v>100</v>
      </c>
      <c r="D46" s="32">
        <v>1000</v>
      </c>
      <c r="E46" s="32">
        <v>10000</v>
      </c>
      <c r="F46" s="32">
        <v>100000</v>
      </c>
      <c r="G46" s="32">
        <v>1000000</v>
      </c>
    </row>
    <row r="47" spans="1:15" x14ac:dyDescent="0.45">
      <c r="A47" s="30" t="s">
        <v>0</v>
      </c>
      <c r="B47" s="32">
        <v>0</v>
      </c>
      <c r="C47" s="32">
        <v>2</v>
      </c>
      <c r="D47" s="32">
        <v>58</v>
      </c>
      <c r="E47" s="32">
        <v>402</v>
      </c>
      <c r="F47" s="32">
        <v>55393</v>
      </c>
      <c r="G47" s="32">
        <v>3377805</v>
      </c>
      <c r="I47" s="26" t="s">
        <v>25</v>
      </c>
      <c r="J47" s="26"/>
      <c r="K47" s="26"/>
      <c r="L47" s="26"/>
      <c r="M47" s="26"/>
      <c r="N47" s="26"/>
      <c r="O47" s="26"/>
    </row>
    <row r="48" spans="1:15" x14ac:dyDescent="0.45">
      <c r="A48" s="30" t="s">
        <v>1</v>
      </c>
      <c r="B48" s="32">
        <v>20</v>
      </c>
      <c r="C48" s="32">
        <v>2737</v>
      </c>
      <c r="D48" s="32">
        <v>243212</v>
      </c>
      <c r="E48" s="32">
        <v>24897093</v>
      </c>
      <c r="F48" s="32">
        <v>2470770240</v>
      </c>
      <c r="G48" s="32">
        <v>247156736619</v>
      </c>
      <c r="I48" s="26" t="s">
        <v>3</v>
      </c>
      <c r="J48" s="42">
        <v>10</v>
      </c>
      <c r="K48" s="42">
        <v>100</v>
      </c>
      <c r="L48" s="42">
        <v>1000</v>
      </c>
      <c r="M48" s="42">
        <v>10000</v>
      </c>
      <c r="N48" s="42">
        <v>100000</v>
      </c>
      <c r="O48" s="42">
        <v>1000000</v>
      </c>
    </row>
    <row r="49" spans="1:15" x14ac:dyDescent="0.45">
      <c r="A49" s="30" t="s">
        <v>2</v>
      </c>
      <c r="B49" s="34">
        <v>45</v>
      </c>
      <c r="C49" s="34">
        <v>4950</v>
      </c>
      <c r="D49" s="34">
        <v>499500</v>
      </c>
      <c r="E49" s="34">
        <v>49995000</v>
      </c>
      <c r="F49" s="34">
        <v>4999950000</v>
      </c>
      <c r="G49" s="32">
        <v>49999995000000</v>
      </c>
      <c r="I49" s="26" t="s">
        <v>0</v>
      </c>
      <c r="J49" s="42">
        <v>1</v>
      </c>
      <c r="K49" s="42">
        <v>0</v>
      </c>
      <c r="L49" s="42">
        <v>22</v>
      </c>
      <c r="M49" s="42">
        <v>167</v>
      </c>
      <c r="N49" s="42">
        <v>30005</v>
      </c>
      <c r="O49" s="42">
        <v>3126709</v>
      </c>
    </row>
    <row r="50" spans="1:15" x14ac:dyDescent="0.45">
      <c r="A50" s="35"/>
      <c r="B50" s="39"/>
      <c r="C50" s="35"/>
      <c r="D50" s="35"/>
      <c r="E50" s="35"/>
      <c r="F50" s="35"/>
      <c r="G50" s="41"/>
      <c r="I50" s="26" t="s">
        <v>1</v>
      </c>
      <c r="J50" s="42">
        <v>18</v>
      </c>
      <c r="K50" s="42">
        <v>2218</v>
      </c>
      <c r="L50" s="42">
        <v>247729</v>
      </c>
      <c r="M50" s="42">
        <v>24419431</v>
      </c>
      <c r="N50" s="42">
        <v>2461791067</v>
      </c>
      <c r="O50" s="42">
        <v>247291479589</v>
      </c>
    </row>
    <row r="51" spans="1:15" x14ac:dyDescent="0.45">
      <c r="A51" s="30" t="s">
        <v>15</v>
      </c>
      <c r="B51" s="30"/>
      <c r="C51" s="30"/>
      <c r="D51" s="30"/>
      <c r="E51" s="30"/>
      <c r="F51" s="30"/>
      <c r="G51" s="32"/>
      <c r="I51" s="26" t="s">
        <v>2</v>
      </c>
      <c r="J51" s="42">
        <v>45</v>
      </c>
      <c r="K51" s="42">
        <v>4950</v>
      </c>
      <c r="L51" s="42">
        <v>499500</v>
      </c>
      <c r="M51" s="42">
        <v>49995000</v>
      </c>
      <c r="N51" s="42">
        <v>4999950000</v>
      </c>
      <c r="O51" s="42">
        <v>49999995000000</v>
      </c>
    </row>
    <row r="52" spans="1:15" x14ac:dyDescent="0.45">
      <c r="A52" s="30" t="s">
        <v>3</v>
      </c>
      <c r="B52" s="32">
        <v>10</v>
      </c>
      <c r="C52" s="32">
        <v>100</v>
      </c>
      <c r="D52" s="32">
        <v>1000</v>
      </c>
      <c r="E52" s="32">
        <v>10000</v>
      </c>
      <c r="F52" s="32">
        <v>100000</v>
      </c>
      <c r="G52" s="32">
        <v>1000000</v>
      </c>
    </row>
    <row r="53" spans="1:15" x14ac:dyDescent="0.45">
      <c r="A53" s="30" t="s">
        <v>0</v>
      </c>
      <c r="B53" s="32">
        <v>17</v>
      </c>
      <c r="C53" s="32">
        <v>0</v>
      </c>
      <c r="D53" s="32">
        <v>53</v>
      </c>
      <c r="E53" s="32">
        <v>400</v>
      </c>
      <c r="F53" s="32">
        <v>82078</v>
      </c>
      <c r="G53" s="32">
        <v>4519092</v>
      </c>
    </row>
    <row r="54" spans="1:15" x14ac:dyDescent="0.45">
      <c r="A54" s="30" t="s">
        <v>1</v>
      </c>
      <c r="B54" s="32">
        <v>28</v>
      </c>
      <c r="C54" s="32">
        <v>2308</v>
      </c>
      <c r="D54" s="32">
        <v>250239</v>
      </c>
      <c r="E54" s="32">
        <v>24633668</v>
      </c>
      <c r="F54" s="32">
        <v>2464579009</v>
      </c>
      <c r="G54" s="32">
        <v>247528686744</v>
      </c>
    </row>
    <row r="55" spans="1:15" x14ac:dyDescent="0.45">
      <c r="A55" s="30" t="s">
        <v>2</v>
      </c>
      <c r="B55" s="34">
        <v>45</v>
      </c>
      <c r="C55" s="34">
        <v>4950</v>
      </c>
      <c r="D55" s="34">
        <v>499500</v>
      </c>
      <c r="E55" s="34">
        <v>49995000</v>
      </c>
      <c r="F55" s="34">
        <v>4999950000</v>
      </c>
      <c r="G55" s="32">
        <v>49999995000000</v>
      </c>
    </row>
    <row r="56" spans="1:15" x14ac:dyDescent="0.45">
      <c r="A56" s="35"/>
      <c r="B56" s="39"/>
      <c r="C56" s="35"/>
      <c r="D56" s="35"/>
      <c r="E56" s="35"/>
      <c r="F56" s="35"/>
      <c r="G56" s="41"/>
    </row>
    <row r="57" spans="1:15" x14ac:dyDescent="0.45">
      <c r="A57" s="30" t="s">
        <v>16</v>
      </c>
      <c r="B57" s="30"/>
      <c r="C57" s="30"/>
      <c r="D57" s="30"/>
      <c r="E57" s="30"/>
      <c r="F57" s="27"/>
      <c r="G57" s="32"/>
    </row>
    <row r="58" spans="1:15" x14ac:dyDescent="0.45">
      <c r="A58" s="30" t="s">
        <v>3</v>
      </c>
      <c r="B58" s="32">
        <v>10</v>
      </c>
      <c r="C58" s="32">
        <v>100</v>
      </c>
      <c r="D58" s="32">
        <v>1000</v>
      </c>
      <c r="E58" s="32">
        <v>10000</v>
      </c>
      <c r="F58" s="40">
        <v>100000</v>
      </c>
      <c r="G58" s="32">
        <v>1000000</v>
      </c>
    </row>
    <row r="59" spans="1:15" x14ac:dyDescent="0.45">
      <c r="A59" s="30" t="s">
        <v>0</v>
      </c>
      <c r="B59" s="32">
        <v>0</v>
      </c>
      <c r="C59" s="32">
        <v>3</v>
      </c>
      <c r="D59" s="32">
        <v>36</v>
      </c>
      <c r="E59" s="32">
        <v>553</v>
      </c>
      <c r="F59" s="40">
        <v>79500</v>
      </c>
      <c r="G59" s="32">
        <v>6645700</v>
      </c>
    </row>
    <row r="60" spans="1:15" x14ac:dyDescent="0.45">
      <c r="A60" s="30" t="s">
        <v>1</v>
      </c>
      <c r="B60" s="32">
        <v>22</v>
      </c>
      <c r="C60" s="32">
        <v>2577</v>
      </c>
      <c r="D60" s="32">
        <v>253228</v>
      </c>
      <c r="E60" s="32">
        <v>24911569</v>
      </c>
      <c r="F60" s="40">
        <v>2473067558</v>
      </c>
      <c r="G60" s="32">
        <v>247698225442</v>
      </c>
    </row>
    <row r="61" spans="1:15" x14ac:dyDescent="0.45">
      <c r="A61" s="30" t="s">
        <v>2</v>
      </c>
      <c r="B61" s="32">
        <v>45</v>
      </c>
      <c r="C61" s="32">
        <v>4950</v>
      </c>
      <c r="D61" s="32">
        <v>499500</v>
      </c>
      <c r="E61" s="32">
        <v>49995000</v>
      </c>
      <c r="F61" s="40">
        <v>4999950000</v>
      </c>
      <c r="G61" s="32">
        <v>49999995000000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C59E-3823-4F2F-9839-4F9D21C95383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43" t="s">
        <v>5</v>
      </c>
      <c r="B1" s="9"/>
      <c r="C1" s="1"/>
      <c r="D1" s="1"/>
      <c r="E1" s="1"/>
      <c r="F1" s="1"/>
      <c r="G1" s="1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11"/>
      <c r="B2" s="44"/>
      <c r="C2" s="44"/>
      <c r="D2" s="44"/>
      <c r="E2" s="44"/>
      <c r="F2" s="44"/>
      <c r="G2" s="1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45" t="s">
        <v>7</v>
      </c>
      <c r="B3" s="2"/>
      <c r="C3" s="45"/>
      <c r="D3" s="45"/>
      <c r="E3" s="45"/>
      <c r="F3" s="45"/>
      <c r="G3" s="2"/>
      <c r="I3" s="26" t="s">
        <v>0</v>
      </c>
      <c r="J3" s="42">
        <f t="shared" ref="J3:O4" si="0">AVERAGE(B5,B11,B17,B23,B29,B35,B41,B47,B53,B59)</f>
        <v>0.8</v>
      </c>
      <c r="K3" s="42">
        <f t="shared" si="0"/>
        <v>1.8</v>
      </c>
      <c r="L3" s="42">
        <f t="shared" si="0"/>
        <v>33.4</v>
      </c>
      <c r="M3" s="42">
        <f t="shared" si="0"/>
        <v>467.1</v>
      </c>
      <c r="N3" s="42">
        <f t="shared" si="0"/>
        <v>62800.4</v>
      </c>
      <c r="O3" s="42">
        <f t="shared" si="0"/>
        <v>1450258.6</v>
      </c>
    </row>
    <row r="4" spans="1:15" x14ac:dyDescent="0.45">
      <c r="A4" s="2" t="s">
        <v>3</v>
      </c>
      <c r="B4" s="3">
        <v>10</v>
      </c>
      <c r="C4" s="3">
        <v>100</v>
      </c>
      <c r="D4" s="3">
        <v>1000</v>
      </c>
      <c r="E4" s="3">
        <v>10000</v>
      </c>
      <c r="F4" s="3">
        <v>100000</v>
      </c>
      <c r="G4" s="3">
        <v>1000000</v>
      </c>
      <c r="I4" s="26" t="s">
        <v>1</v>
      </c>
      <c r="J4" s="42">
        <f t="shared" si="0"/>
        <v>9</v>
      </c>
      <c r="K4" s="42">
        <f t="shared" si="0"/>
        <v>99</v>
      </c>
      <c r="L4" s="42">
        <f t="shared" si="0"/>
        <v>999</v>
      </c>
      <c r="M4" s="42">
        <f t="shared" si="0"/>
        <v>9999</v>
      </c>
      <c r="N4" s="42">
        <f t="shared" si="0"/>
        <v>99999</v>
      </c>
      <c r="O4" s="42">
        <f t="shared" si="0"/>
        <v>999999</v>
      </c>
    </row>
    <row r="5" spans="1:15" x14ac:dyDescent="0.45">
      <c r="A5" s="2" t="s">
        <v>0</v>
      </c>
      <c r="B5" s="3">
        <v>1</v>
      </c>
      <c r="C5" s="3">
        <v>0</v>
      </c>
      <c r="D5" s="3">
        <v>15</v>
      </c>
      <c r="E5" s="3">
        <v>431</v>
      </c>
      <c r="F5" s="3">
        <v>45644</v>
      </c>
      <c r="G5" s="2">
        <v>1419571</v>
      </c>
      <c r="I5" s="26" t="s">
        <v>2</v>
      </c>
      <c r="J5" s="42">
        <f>AVERAGE(D7,B13,B19,B25,B31,B37,B43,B49,B55,B61)</f>
        <v>49990.5</v>
      </c>
      <c r="K5" s="42">
        <f>AVERAGE(E7,C13,C19,C25,C31,C37,C43,C49,C55,C61)</f>
        <v>5003955</v>
      </c>
      <c r="L5" s="42">
        <f>AVERAGE(F7,D13,D19,D25,D31,D37,D43,D49,D55,D61)</f>
        <v>500444550</v>
      </c>
      <c r="M5" s="42">
        <f>AVERAGE(G7,E13,E19,E25,E31,E37,E43,E49,E55,E61)</f>
        <v>50044945500</v>
      </c>
      <c r="N5" s="42">
        <f>AVERAGE(F7,P10,F13,F19,F25,F31,F37,F43,F49,F55,F61)</f>
        <v>4999950000</v>
      </c>
      <c r="O5" s="42">
        <f>AVERAGE(InsertionSort!A7,G13,G19,G25,G31,G37,G43,G49,G55,G61)</f>
        <v>499999500000</v>
      </c>
    </row>
    <row r="6" spans="1:15" x14ac:dyDescent="0.45">
      <c r="A6" s="2" t="s">
        <v>1</v>
      </c>
      <c r="B6" s="3">
        <v>9</v>
      </c>
      <c r="C6" s="3">
        <v>99</v>
      </c>
      <c r="D6" s="3">
        <v>999</v>
      </c>
      <c r="E6" s="3">
        <v>9999</v>
      </c>
      <c r="F6" s="3">
        <v>99999</v>
      </c>
      <c r="G6" s="2">
        <v>999999</v>
      </c>
    </row>
    <row r="7" spans="1:15" x14ac:dyDescent="0.45">
      <c r="A7" s="8" t="s">
        <v>2</v>
      </c>
      <c r="B7" s="10">
        <v>45</v>
      </c>
      <c r="C7" s="10">
        <v>4950</v>
      </c>
      <c r="D7" s="10">
        <v>499500</v>
      </c>
      <c r="E7" s="10">
        <v>49995000</v>
      </c>
      <c r="F7" s="10">
        <v>4999950000</v>
      </c>
      <c r="G7" s="2">
        <v>499999500000</v>
      </c>
    </row>
    <row r="8" spans="1:15" x14ac:dyDescent="0.45">
      <c r="A8" s="11"/>
      <c r="B8" s="12"/>
      <c r="C8" s="11"/>
      <c r="D8" s="11"/>
      <c r="E8" s="11"/>
      <c r="F8" s="11"/>
      <c r="G8" s="1"/>
    </row>
    <row r="9" spans="1:15" x14ac:dyDescent="0.45">
      <c r="A9" s="45" t="s">
        <v>8</v>
      </c>
      <c r="B9" s="45"/>
      <c r="C9" s="45"/>
      <c r="D9" s="45"/>
      <c r="E9" s="45"/>
      <c r="F9" s="45"/>
      <c r="G9" s="2"/>
    </row>
    <row r="10" spans="1:15" x14ac:dyDescent="0.45">
      <c r="A10" s="2" t="s">
        <v>3</v>
      </c>
      <c r="B10" s="3">
        <v>10</v>
      </c>
      <c r="C10" s="3">
        <v>100</v>
      </c>
      <c r="D10" s="3">
        <v>1000</v>
      </c>
      <c r="E10" s="3">
        <v>10000</v>
      </c>
      <c r="F10" s="3">
        <v>100000</v>
      </c>
      <c r="G10" s="3">
        <v>1000000</v>
      </c>
    </row>
    <row r="11" spans="1:15" x14ac:dyDescent="0.45">
      <c r="A11" s="2" t="s">
        <v>0</v>
      </c>
      <c r="B11" s="3">
        <v>1</v>
      </c>
      <c r="C11" s="3">
        <v>0</v>
      </c>
      <c r="D11" s="3">
        <v>16</v>
      </c>
      <c r="E11" s="3">
        <v>393</v>
      </c>
      <c r="F11" s="3">
        <v>42860</v>
      </c>
      <c r="G11" s="2">
        <v>1351329</v>
      </c>
    </row>
    <row r="12" spans="1:15" x14ac:dyDescent="0.45">
      <c r="A12" s="2" t="s">
        <v>1</v>
      </c>
      <c r="B12" s="3">
        <v>9</v>
      </c>
      <c r="C12" s="3">
        <v>99</v>
      </c>
      <c r="D12" s="3">
        <v>999</v>
      </c>
      <c r="E12" s="3">
        <v>9999</v>
      </c>
      <c r="F12" s="3">
        <v>99999</v>
      </c>
      <c r="G12" s="2">
        <v>999999</v>
      </c>
    </row>
    <row r="13" spans="1:15" x14ac:dyDescent="0.45">
      <c r="A13" s="2" t="s">
        <v>2</v>
      </c>
      <c r="B13" s="10">
        <v>45</v>
      </c>
      <c r="C13" s="10">
        <v>4950</v>
      </c>
      <c r="D13" s="10">
        <v>499500</v>
      </c>
      <c r="E13" s="10">
        <v>49995000</v>
      </c>
      <c r="F13" s="10">
        <v>4999950000</v>
      </c>
      <c r="G13" s="2">
        <v>499999500000</v>
      </c>
    </row>
    <row r="14" spans="1:15" x14ac:dyDescent="0.45">
      <c r="A14" s="11"/>
      <c r="B14" s="12"/>
      <c r="C14" s="11"/>
      <c r="D14" s="11"/>
      <c r="E14" s="11"/>
      <c r="F14" s="11"/>
      <c r="G14" s="1"/>
    </row>
    <row r="15" spans="1:15" x14ac:dyDescent="0.45">
      <c r="A15" s="2" t="s">
        <v>9</v>
      </c>
      <c r="B15" s="2"/>
      <c r="C15" s="2"/>
      <c r="D15" s="2"/>
      <c r="E15" s="2"/>
      <c r="F15" s="2"/>
      <c r="G15" s="2"/>
    </row>
    <row r="16" spans="1:15" x14ac:dyDescent="0.45">
      <c r="A16" s="2" t="s">
        <v>3</v>
      </c>
      <c r="B16" s="3">
        <v>10</v>
      </c>
      <c r="C16" s="3">
        <v>100</v>
      </c>
      <c r="D16" s="3">
        <v>1000</v>
      </c>
      <c r="E16" s="3">
        <v>10000</v>
      </c>
      <c r="F16" s="3">
        <v>100000</v>
      </c>
      <c r="G16" s="3">
        <v>1000000</v>
      </c>
    </row>
    <row r="17" spans="1:15" x14ac:dyDescent="0.45">
      <c r="A17" s="2" t="s">
        <v>0</v>
      </c>
      <c r="B17" s="3">
        <v>1</v>
      </c>
      <c r="C17" s="3">
        <v>3</v>
      </c>
      <c r="D17" s="3">
        <v>47</v>
      </c>
      <c r="E17" s="3">
        <v>348</v>
      </c>
      <c r="F17" s="3">
        <v>30688</v>
      </c>
      <c r="G17" s="2">
        <v>1188076</v>
      </c>
    </row>
    <row r="18" spans="1:15" x14ac:dyDescent="0.45">
      <c r="A18" s="2" t="s">
        <v>1</v>
      </c>
      <c r="B18" s="3">
        <v>9</v>
      </c>
      <c r="C18" s="3">
        <v>99</v>
      </c>
      <c r="D18" s="3">
        <v>999</v>
      </c>
      <c r="E18" s="3">
        <v>9999</v>
      </c>
      <c r="F18" s="3">
        <v>99999</v>
      </c>
      <c r="G18" s="2">
        <v>999999</v>
      </c>
    </row>
    <row r="19" spans="1:15" x14ac:dyDescent="0.45">
      <c r="A19" s="2" t="s">
        <v>2</v>
      </c>
      <c r="B19" s="10">
        <v>45</v>
      </c>
      <c r="C19" s="10">
        <v>4950</v>
      </c>
      <c r="D19" s="10">
        <v>499500</v>
      </c>
      <c r="E19" s="10">
        <v>49995000</v>
      </c>
      <c r="F19" s="10">
        <v>4999950000</v>
      </c>
      <c r="G19" s="2">
        <v>499999500000</v>
      </c>
    </row>
    <row r="20" spans="1:15" x14ac:dyDescent="0.45">
      <c r="A20" s="11"/>
      <c r="B20" s="12"/>
      <c r="C20" s="11"/>
      <c r="D20" s="11"/>
      <c r="E20" s="11"/>
      <c r="F20" s="11"/>
      <c r="G20" s="1"/>
    </row>
    <row r="21" spans="1:15" x14ac:dyDescent="0.45">
      <c r="A21" s="2" t="s">
        <v>10</v>
      </c>
      <c r="B21" s="2"/>
      <c r="C21" s="2"/>
      <c r="D21" s="2"/>
      <c r="E21" s="2"/>
      <c r="F21" s="2"/>
      <c r="G21" s="2"/>
    </row>
    <row r="22" spans="1:15" x14ac:dyDescent="0.45">
      <c r="A22" s="2" t="s">
        <v>3</v>
      </c>
      <c r="B22" s="3">
        <v>10</v>
      </c>
      <c r="C22" s="3">
        <v>100</v>
      </c>
      <c r="D22" s="3">
        <v>1000</v>
      </c>
      <c r="E22" s="3">
        <v>10000</v>
      </c>
      <c r="F22" s="3">
        <v>100000</v>
      </c>
      <c r="G22" s="3">
        <v>1000000</v>
      </c>
    </row>
    <row r="23" spans="1:15" x14ac:dyDescent="0.45">
      <c r="A23" s="2" t="s">
        <v>0</v>
      </c>
      <c r="B23" s="3">
        <v>1</v>
      </c>
      <c r="C23" s="3">
        <v>8</v>
      </c>
      <c r="D23" s="3">
        <v>50</v>
      </c>
      <c r="E23" s="3">
        <v>474</v>
      </c>
      <c r="F23" s="3">
        <v>95739</v>
      </c>
      <c r="G23" s="2">
        <v>1107540</v>
      </c>
    </row>
    <row r="24" spans="1:15" x14ac:dyDescent="0.45">
      <c r="A24" s="2" t="s">
        <v>1</v>
      </c>
      <c r="B24" s="3">
        <v>9</v>
      </c>
      <c r="C24" s="3">
        <v>99</v>
      </c>
      <c r="D24" s="3">
        <v>999</v>
      </c>
      <c r="E24" s="3">
        <v>9999</v>
      </c>
      <c r="F24" s="3">
        <v>99999</v>
      </c>
      <c r="G24" s="2">
        <v>999999</v>
      </c>
      <c r="I24" s="26" t="s">
        <v>24</v>
      </c>
      <c r="J24" s="26"/>
      <c r="K24" s="26"/>
      <c r="L24" s="26"/>
      <c r="M24" s="26"/>
      <c r="N24" s="26"/>
      <c r="O24" s="26"/>
    </row>
    <row r="25" spans="1:15" x14ac:dyDescent="0.45">
      <c r="A25" s="2" t="s">
        <v>2</v>
      </c>
      <c r="B25" s="10">
        <v>45</v>
      </c>
      <c r="C25" s="10">
        <v>4950</v>
      </c>
      <c r="D25" s="10">
        <v>499500</v>
      </c>
      <c r="E25" s="10">
        <v>49995000</v>
      </c>
      <c r="F25" s="10">
        <v>4999950000</v>
      </c>
      <c r="G25" s="2">
        <v>499999500000</v>
      </c>
      <c r="I25" s="26" t="s">
        <v>3</v>
      </c>
      <c r="J25" s="42">
        <v>10</v>
      </c>
      <c r="K25" s="42">
        <v>100</v>
      </c>
      <c r="L25" s="42">
        <v>1000</v>
      </c>
      <c r="M25" s="42">
        <v>10000</v>
      </c>
      <c r="N25" s="42">
        <v>100000</v>
      </c>
      <c r="O25" s="42">
        <v>1000000</v>
      </c>
    </row>
    <row r="26" spans="1:15" x14ac:dyDescent="0.45">
      <c r="A26" s="11"/>
      <c r="B26" s="12"/>
      <c r="C26" s="11"/>
      <c r="D26" s="11"/>
      <c r="E26" s="11"/>
      <c r="F26" s="11"/>
      <c r="G26" s="1"/>
      <c r="I26" s="26" t="s">
        <v>0</v>
      </c>
      <c r="J26" s="42">
        <v>1</v>
      </c>
      <c r="K26" s="42">
        <v>8</v>
      </c>
      <c r="L26" s="42">
        <v>50</v>
      </c>
      <c r="M26" s="42">
        <v>474</v>
      </c>
      <c r="N26" s="42">
        <v>95739</v>
      </c>
      <c r="O26" s="26">
        <v>1107540</v>
      </c>
    </row>
    <row r="27" spans="1:15" x14ac:dyDescent="0.45">
      <c r="A27" s="2" t="s">
        <v>11</v>
      </c>
      <c r="B27" s="2"/>
      <c r="C27" s="2"/>
      <c r="D27" s="2"/>
      <c r="E27" s="2"/>
      <c r="F27" s="2"/>
      <c r="G27" s="2"/>
      <c r="I27" s="26" t="s">
        <v>1</v>
      </c>
      <c r="J27" s="42">
        <v>9</v>
      </c>
      <c r="K27" s="42">
        <v>99</v>
      </c>
      <c r="L27" s="42">
        <v>999</v>
      </c>
      <c r="M27" s="42">
        <v>9999</v>
      </c>
      <c r="N27" s="42">
        <v>99999</v>
      </c>
      <c r="O27" s="26">
        <v>999999</v>
      </c>
    </row>
    <row r="28" spans="1:15" x14ac:dyDescent="0.45">
      <c r="A28" s="2" t="s">
        <v>3</v>
      </c>
      <c r="B28" s="3">
        <v>10</v>
      </c>
      <c r="C28" s="3">
        <v>100</v>
      </c>
      <c r="D28" s="3">
        <v>1000</v>
      </c>
      <c r="E28" s="3">
        <v>10000</v>
      </c>
      <c r="F28" s="3">
        <v>100000</v>
      </c>
      <c r="G28" s="3">
        <v>1000000</v>
      </c>
      <c r="I28" s="26" t="s">
        <v>2</v>
      </c>
      <c r="J28" s="42">
        <v>45</v>
      </c>
      <c r="K28" s="42">
        <v>4950</v>
      </c>
      <c r="L28" s="42">
        <v>499500</v>
      </c>
      <c r="M28" s="42">
        <v>49995000</v>
      </c>
      <c r="N28" s="42">
        <v>4999950000</v>
      </c>
      <c r="O28" s="26">
        <v>499999500000</v>
      </c>
    </row>
    <row r="29" spans="1:15" x14ac:dyDescent="0.45">
      <c r="A29" s="2" t="s">
        <v>0</v>
      </c>
      <c r="B29" s="3">
        <v>0</v>
      </c>
      <c r="C29" s="3">
        <v>1</v>
      </c>
      <c r="D29" s="3">
        <v>32</v>
      </c>
      <c r="E29" s="3">
        <v>501</v>
      </c>
      <c r="F29" s="3">
        <v>92559</v>
      </c>
      <c r="G29" s="2">
        <v>1146544</v>
      </c>
    </row>
    <row r="30" spans="1:15" x14ac:dyDescent="0.45">
      <c r="A30" s="2" t="s">
        <v>1</v>
      </c>
      <c r="B30" s="3">
        <v>9</v>
      </c>
      <c r="C30" s="3">
        <v>99</v>
      </c>
      <c r="D30" s="3">
        <v>999</v>
      </c>
      <c r="E30" s="3">
        <v>9999</v>
      </c>
      <c r="F30" s="3">
        <v>99999</v>
      </c>
      <c r="G30" s="2">
        <v>999999</v>
      </c>
    </row>
    <row r="31" spans="1:15" x14ac:dyDescent="0.45">
      <c r="A31" s="2" t="s">
        <v>2</v>
      </c>
      <c r="B31" s="10">
        <v>45</v>
      </c>
      <c r="C31" s="10">
        <v>4950</v>
      </c>
      <c r="D31" s="10">
        <v>499500</v>
      </c>
      <c r="E31" s="10">
        <v>49995000</v>
      </c>
      <c r="F31" s="10">
        <v>4999950000</v>
      </c>
      <c r="G31" s="2">
        <v>499999500000</v>
      </c>
    </row>
    <row r="32" spans="1:15" x14ac:dyDescent="0.45">
      <c r="A32" s="11"/>
      <c r="B32" s="12"/>
      <c r="C32" s="11"/>
      <c r="D32" s="11"/>
      <c r="E32" s="11"/>
      <c r="F32" s="11"/>
      <c r="G32" s="1"/>
    </row>
    <row r="33" spans="1:15" x14ac:dyDescent="0.45">
      <c r="A33" s="2" t="s">
        <v>12</v>
      </c>
      <c r="B33" s="2"/>
      <c r="C33" s="2"/>
      <c r="D33" s="2"/>
      <c r="E33" s="2"/>
      <c r="F33" s="2"/>
      <c r="G33" s="2"/>
    </row>
    <row r="34" spans="1:15" x14ac:dyDescent="0.45">
      <c r="A34" s="2" t="s">
        <v>3</v>
      </c>
      <c r="B34" s="3">
        <v>10</v>
      </c>
      <c r="C34" s="3">
        <v>100</v>
      </c>
      <c r="D34" s="3">
        <v>1000</v>
      </c>
      <c r="E34" s="3">
        <v>10000</v>
      </c>
      <c r="F34" s="3">
        <v>100000</v>
      </c>
      <c r="G34" s="3">
        <v>1000000</v>
      </c>
    </row>
    <row r="35" spans="1:15" x14ac:dyDescent="0.45">
      <c r="A35" s="2" t="s">
        <v>0</v>
      </c>
      <c r="B35" s="3">
        <v>0</v>
      </c>
      <c r="C35" s="3">
        <v>0</v>
      </c>
      <c r="D35" s="3">
        <v>17</v>
      </c>
      <c r="E35" s="3">
        <v>383</v>
      </c>
      <c r="F35" s="3">
        <v>40043</v>
      </c>
      <c r="G35" s="2">
        <v>1262332</v>
      </c>
    </row>
    <row r="36" spans="1:15" x14ac:dyDescent="0.45">
      <c r="A36" s="2" t="s">
        <v>1</v>
      </c>
      <c r="B36" s="3">
        <v>9</v>
      </c>
      <c r="C36" s="3">
        <v>99</v>
      </c>
      <c r="D36" s="3">
        <v>999</v>
      </c>
      <c r="E36" s="3">
        <v>9999</v>
      </c>
      <c r="F36" s="3">
        <v>99999</v>
      </c>
      <c r="G36" s="2">
        <v>999999</v>
      </c>
    </row>
    <row r="37" spans="1:15" x14ac:dyDescent="0.45">
      <c r="A37" s="2" t="s">
        <v>2</v>
      </c>
      <c r="B37" s="10">
        <v>45</v>
      </c>
      <c r="C37" s="10">
        <v>4950</v>
      </c>
      <c r="D37" s="10">
        <v>499500</v>
      </c>
      <c r="E37" s="10">
        <v>49995000</v>
      </c>
      <c r="F37" s="10">
        <v>4999950000</v>
      </c>
      <c r="G37" s="2">
        <v>499999500000</v>
      </c>
    </row>
    <row r="38" spans="1:15" x14ac:dyDescent="0.45">
      <c r="A38" s="11"/>
      <c r="B38" s="12"/>
      <c r="C38" s="11"/>
      <c r="D38" s="11"/>
      <c r="E38" s="11"/>
      <c r="F38" s="11"/>
      <c r="G38" s="1"/>
    </row>
    <row r="39" spans="1:15" x14ac:dyDescent="0.45">
      <c r="A39" s="2" t="s">
        <v>13</v>
      </c>
      <c r="B39" s="2"/>
      <c r="C39" s="2"/>
      <c r="D39" s="2"/>
      <c r="E39" s="2"/>
      <c r="F39" s="2"/>
      <c r="G39" s="2"/>
    </row>
    <row r="40" spans="1:15" x14ac:dyDescent="0.45">
      <c r="A40" s="2" t="s">
        <v>3</v>
      </c>
      <c r="B40" s="3">
        <v>10</v>
      </c>
      <c r="C40" s="3">
        <v>100</v>
      </c>
      <c r="D40" s="3">
        <v>1000</v>
      </c>
      <c r="E40" s="3">
        <v>10000</v>
      </c>
      <c r="F40" s="3">
        <v>100000</v>
      </c>
      <c r="G40" s="3">
        <v>1000000</v>
      </c>
    </row>
    <row r="41" spans="1:15" x14ac:dyDescent="0.45">
      <c r="A41" s="2" t="s">
        <v>0</v>
      </c>
      <c r="B41" s="3">
        <v>2</v>
      </c>
      <c r="C41" s="3">
        <v>2</v>
      </c>
      <c r="D41" s="3">
        <v>20</v>
      </c>
      <c r="E41" s="3">
        <v>360</v>
      </c>
      <c r="F41" s="3">
        <v>53114</v>
      </c>
      <c r="G41" s="2">
        <v>3319568</v>
      </c>
    </row>
    <row r="42" spans="1:15" x14ac:dyDescent="0.45">
      <c r="A42" s="2" t="s">
        <v>1</v>
      </c>
      <c r="B42" s="3">
        <v>9</v>
      </c>
      <c r="C42" s="3">
        <v>99</v>
      </c>
      <c r="D42" s="3">
        <v>999</v>
      </c>
      <c r="E42" s="3">
        <v>9999</v>
      </c>
      <c r="F42" s="3">
        <v>99999</v>
      </c>
      <c r="G42" s="2">
        <v>999999</v>
      </c>
    </row>
    <row r="43" spans="1:15" x14ac:dyDescent="0.45">
      <c r="A43" s="2" t="s">
        <v>2</v>
      </c>
      <c r="B43" s="10">
        <v>45</v>
      </c>
      <c r="C43" s="10">
        <v>4950</v>
      </c>
      <c r="D43" s="10">
        <v>499500</v>
      </c>
      <c r="E43" s="10">
        <v>49995000</v>
      </c>
      <c r="F43" s="10">
        <v>4999950000</v>
      </c>
      <c r="G43" s="2">
        <v>499999500000</v>
      </c>
    </row>
    <row r="44" spans="1:15" x14ac:dyDescent="0.45">
      <c r="A44" s="11"/>
      <c r="B44" s="12"/>
      <c r="C44" s="11"/>
      <c r="D44" s="11"/>
      <c r="E44" s="11"/>
      <c r="F44" s="11"/>
      <c r="G44" s="1"/>
    </row>
    <row r="45" spans="1:15" x14ac:dyDescent="0.45">
      <c r="A45" s="2" t="s">
        <v>14</v>
      </c>
      <c r="B45" s="2"/>
      <c r="C45" s="2"/>
      <c r="D45" s="2"/>
      <c r="E45" s="2"/>
      <c r="F45" s="2"/>
      <c r="G45" s="2"/>
    </row>
    <row r="46" spans="1:15" x14ac:dyDescent="0.45">
      <c r="A46" s="2" t="s">
        <v>3</v>
      </c>
      <c r="B46" s="3">
        <v>10</v>
      </c>
      <c r="C46" s="3">
        <v>100</v>
      </c>
      <c r="D46" s="3">
        <v>1000</v>
      </c>
      <c r="E46" s="3">
        <v>10000</v>
      </c>
      <c r="F46" s="3">
        <v>100000</v>
      </c>
      <c r="G46" s="3">
        <v>1000000</v>
      </c>
    </row>
    <row r="47" spans="1:15" x14ac:dyDescent="0.45">
      <c r="A47" s="2" t="s">
        <v>0</v>
      </c>
      <c r="B47" s="3">
        <v>1</v>
      </c>
      <c r="C47" s="3">
        <v>0</v>
      </c>
      <c r="D47" s="3">
        <v>29</v>
      </c>
      <c r="E47" s="3">
        <v>532</v>
      </c>
      <c r="F47" s="3">
        <v>67579</v>
      </c>
      <c r="G47" s="2">
        <v>1141229</v>
      </c>
      <c r="I47" s="26" t="s">
        <v>25</v>
      </c>
      <c r="J47" s="26"/>
      <c r="K47" s="26"/>
      <c r="L47" s="26"/>
      <c r="M47" s="26"/>
      <c r="N47" s="26"/>
      <c r="O47" s="26"/>
    </row>
    <row r="48" spans="1:15" x14ac:dyDescent="0.45">
      <c r="A48" s="2" t="s">
        <v>1</v>
      </c>
      <c r="B48" s="3">
        <v>9</v>
      </c>
      <c r="C48" s="3">
        <v>99</v>
      </c>
      <c r="D48" s="3">
        <v>999</v>
      </c>
      <c r="E48" s="3">
        <v>9999</v>
      </c>
      <c r="F48" s="3">
        <v>99999</v>
      </c>
      <c r="G48" s="2">
        <v>999999</v>
      </c>
      <c r="I48" s="26" t="s">
        <v>3</v>
      </c>
      <c r="J48" s="42">
        <v>10</v>
      </c>
      <c r="K48" s="42">
        <v>100</v>
      </c>
      <c r="L48" s="42">
        <v>1000</v>
      </c>
      <c r="M48" s="42">
        <v>10000</v>
      </c>
      <c r="N48" s="42">
        <v>100000</v>
      </c>
      <c r="O48" s="42">
        <v>1000000</v>
      </c>
    </row>
    <row r="49" spans="1:15" x14ac:dyDescent="0.45">
      <c r="A49" s="2" t="s">
        <v>2</v>
      </c>
      <c r="B49" s="10">
        <v>45</v>
      </c>
      <c r="C49" s="10">
        <v>4950</v>
      </c>
      <c r="D49" s="10">
        <v>499500</v>
      </c>
      <c r="E49" s="10">
        <v>49995000</v>
      </c>
      <c r="F49" s="10">
        <v>4999950000</v>
      </c>
      <c r="G49" s="2">
        <v>499999500000</v>
      </c>
      <c r="I49" s="26" t="s">
        <v>0</v>
      </c>
      <c r="J49" s="42">
        <v>0</v>
      </c>
      <c r="K49" s="42">
        <v>0</v>
      </c>
      <c r="L49" s="42">
        <v>17</v>
      </c>
      <c r="M49" s="42">
        <v>383</v>
      </c>
      <c r="N49" s="42">
        <v>40043</v>
      </c>
      <c r="O49" s="26">
        <v>1262332</v>
      </c>
    </row>
    <row r="50" spans="1:15" x14ac:dyDescent="0.45">
      <c r="A50" s="11"/>
      <c r="B50" s="12"/>
      <c r="C50" s="11"/>
      <c r="D50" s="11"/>
      <c r="E50" s="11"/>
      <c r="F50" s="11"/>
      <c r="G50" s="1"/>
      <c r="I50" s="26" t="s">
        <v>1</v>
      </c>
      <c r="J50" s="42">
        <v>9</v>
      </c>
      <c r="K50" s="42">
        <v>99</v>
      </c>
      <c r="L50" s="42">
        <v>999</v>
      </c>
      <c r="M50" s="42">
        <v>9999</v>
      </c>
      <c r="N50" s="42">
        <v>99999</v>
      </c>
      <c r="O50" s="26">
        <v>999999</v>
      </c>
    </row>
    <row r="51" spans="1:15" x14ac:dyDescent="0.45">
      <c r="A51" s="2" t="s">
        <v>15</v>
      </c>
      <c r="B51" s="2"/>
      <c r="C51" s="2"/>
      <c r="D51" s="2"/>
      <c r="E51" s="2"/>
      <c r="F51" s="2"/>
      <c r="G51" s="2"/>
      <c r="I51" s="26" t="s">
        <v>2</v>
      </c>
      <c r="J51" s="42">
        <v>45</v>
      </c>
      <c r="K51" s="42">
        <v>4950</v>
      </c>
      <c r="L51" s="42">
        <v>499500</v>
      </c>
      <c r="M51" s="42">
        <v>49995000</v>
      </c>
      <c r="N51" s="42">
        <v>4999950000</v>
      </c>
      <c r="O51" s="26">
        <v>499999500000</v>
      </c>
    </row>
    <row r="52" spans="1:15" x14ac:dyDescent="0.45">
      <c r="A52" s="2" t="s">
        <v>3</v>
      </c>
      <c r="B52" s="3">
        <v>10</v>
      </c>
      <c r="C52" s="3">
        <v>100</v>
      </c>
      <c r="D52" s="3">
        <v>1000</v>
      </c>
      <c r="E52" s="3">
        <v>10000</v>
      </c>
      <c r="F52" s="3">
        <v>100000</v>
      </c>
      <c r="G52" s="3">
        <v>1000000</v>
      </c>
    </row>
    <row r="53" spans="1:15" x14ac:dyDescent="0.45">
      <c r="A53" s="2" t="s">
        <v>0</v>
      </c>
      <c r="B53" s="3">
        <v>1</v>
      </c>
      <c r="C53" s="3">
        <v>1</v>
      </c>
      <c r="D53" s="3">
        <v>49</v>
      </c>
      <c r="E53" s="3">
        <v>838</v>
      </c>
      <c r="F53" s="3">
        <v>103077</v>
      </c>
      <c r="G53" s="2">
        <v>1337191</v>
      </c>
    </row>
    <row r="54" spans="1:15" x14ac:dyDescent="0.45">
      <c r="A54" s="2" t="s">
        <v>1</v>
      </c>
      <c r="B54" s="3">
        <v>9</v>
      </c>
      <c r="C54" s="3">
        <v>99</v>
      </c>
      <c r="D54" s="3">
        <v>999</v>
      </c>
      <c r="E54" s="3">
        <v>9999</v>
      </c>
      <c r="F54" s="3">
        <v>99999</v>
      </c>
      <c r="G54" s="2">
        <v>999999</v>
      </c>
    </row>
    <row r="55" spans="1:15" x14ac:dyDescent="0.45">
      <c r="A55" s="2" t="s">
        <v>2</v>
      </c>
      <c r="B55" s="10">
        <v>45</v>
      </c>
      <c r="C55" s="10">
        <v>4950</v>
      </c>
      <c r="D55" s="10">
        <v>499500</v>
      </c>
      <c r="E55" s="10">
        <v>49995000</v>
      </c>
      <c r="F55" s="10">
        <v>4999950000</v>
      </c>
      <c r="G55" s="2">
        <v>499999500000</v>
      </c>
    </row>
    <row r="56" spans="1:15" x14ac:dyDescent="0.45">
      <c r="A56" s="11"/>
      <c r="B56" s="12"/>
      <c r="C56" s="11"/>
      <c r="D56" s="11"/>
      <c r="E56" s="11"/>
      <c r="F56" s="11"/>
      <c r="G56" s="1"/>
    </row>
    <row r="57" spans="1:15" x14ac:dyDescent="0.45">
      <c r="A57" s="2" t="s">
        <v>16</v>
      </c>
      <c r="B57" s="2"/>
      <c r="C57" s="2"/>
      <c r="D57" s="2"/>
      <c r="E57" s="2"/>
      <c r="F57" s="2"/>
      <c r="G57" s="2"/>
    </row>
    <row r="58" spans="1:15" x14ac:dyDescent="0.45">
      <c r="A58" s="2" t="s">
        <v>3</v>
      </c>
      <c r="B58" s="3">
        <v>10</v>
      </c>
      <c r="C58" s="3">
        <v>100</v>
      </c>
      <c r="D58" s="3">
        <v>1000</v>
      </c>
      <c r="E58" s="3">
        <v>10000</v>
      </c>
      <c r="F58" s="3">
        <v>100000</v>
      </c>
      <c r="G58" s="3">
        <v>1000000</v>
      </c>
    </row>
    <row r="59" spans="1:15" x14ac:dyDescent="0.45">
      <c r="A59" s="2" t="s">
        <v>0</v>
      </c>
      <c r="B59" s="3">
        <v>0</v>
      </c>
      <c r="C59" s="3">
        <v>3</v>
      </c>
      <c r="D59" s="3">
        <v>59</v>
      </c>
      <c r="E59" s="3">
        <v>411</v>
      </c>
      <c r="F59" s="3">
        <v>56701</v>
      </c>
      <c r="G59" s="2">
        <v>1229206</v>
      </c>
    </row>
    <row r="60" spans="1:15" x14ac:dyDescent="0.45">
      <c r="A60" s="2" t="s">
        <v>1</v>
      </c>
      <c r="B60" s="3">
        <v>9</v>
      </c>
      <c r="C60" s="3">
        <v>99</v>
      </c>
      <c r="D60" s="3">
        <v>999</v>
      </c>
      <c r="E60" s="3">
        <v>9999</v>
      </c>
      <c r="F60" s="3">
        <v>99999</v>
      </c>
      <c r="G60" s="2">
        <v>999999</v>
      </c>
    </row>
    <row r="61" spans="1:15" x14ac:dyDescent="0.45">
      <c r="A61" s="2" t="s">
        <v>2</v>
      </c>
      <c r="B61" s="3">
        <v>45</v>
      </c>
      <c r="C61" s="3">
        <v>4950</v>
      </c>
      <c r="D61" s="3">
        <v>499500</v>
      </c>
      <c r="E61" s="3">
        <v>49995000</v>
      </c>
      <c r="F61" s="3">
        <v>4999950000</v>
      </c>
      <c r="G61" s="2">
        <v>499999500000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23EA-C3BF-4A3C-8CDE-5D6E844B4BF4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46" t="s">
        <v>6</v>
      </c>
      <c r="B1" s="47"/>
      <c r="C1" s="48"/>
      <c r="D1" s="48"/>
      <c r="E1" s="48"/>
      <c r="F1" s="48"/>
      <c r="G1" s="48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49"/>
      <c r="B2" s="50"/>
      <c r="C2" s="51"/>
      <c r="D2" s="51"/>
      <c r="E2" s="51"/>
      <c r="F2" s="51"/>
      <c r="G2" s="48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52" t="s">
        <v>7</v>
      </c>
      <c r="B3" s="52"/>
      <c r="C3" s="52"/>
      <c r="D3" s="52"/>
      <c r="E3" s="52"/>
      <c r="F3" s="52"/>
      <c r="G3" s="52"/>
      <c r="I3" s="26" t="s">
        <v>0</v>
      </c>
      <c r="J3" s="42">
        <f>AVERAGE(InsertionSort!B5,InsertionSort!B11,InsertionSort!B17,InsertionSort!B23,InsertionSort!B29,InsertionSort!B35,InsertionSort!B41,InsertionSort!B47,InsertionSort!B53,InsertionSort!B59)</f>
        <v>1.2</v>
      </c>
      <c r="K3" s="42">
        <f>AVERAGE(InsertionSort!C5,InsertionSort!C11,InsertionSort!C17,InsertionSort!C23,InsertionSort!C29,InsertionSort!C35,InsertionSort!C41,InsertionSort!C47,InsertionSort!C53,InsertionSort!C59)</f>
        <v>0.3</v>
      </c>
      <c r="L3" s="42">
        <f>AVERAGE(InsertionSort!D5,InsertionSort!D11,InsertionSort!D17,InsertionSort!D23,InsertionSort!D29,InsertionSort!D35,InsertionSort!D41,InsertionSort!D47,InsertionSort!D53,InsertionSort!D59)</f>
        <v>42.1</v>
      </c>
      <c r="M3" s="42">
        <f>AVERAGE(InsertionSort!E5,InsertionSort!E11,InsertionSort!E17,InsertionSort!E23,InsertionSort!E29,InsertionSort!E35,InsertionSort!E41,InsertionSort!E47,InsertionSort!E53,InsertionSort!E59)</f>
        <v>777.7</v>
      </c>
      <c r="N3" s="42">
        <f>AVERAGE(InsertionSort!F5,InsertionSort!F11,InsertionSort!F17,InsertionSort!F23,InsertionSort!F29,InsertionSort!F35,InsertionSort!F41,InsertionSort!F47,InsertionSort!F53,InsertionSort!F59)</f>
        <v>34517.1</v>
      </c>
      <c r="O3" s="42">
        <f>AVERAGE(InsertionSort!G5,InsertionSort!G11,InsertionSort!G17,InsertionSort!G23,InsertionSort!G29,InsertionSort!G35,InsertionSort!G41,InsertionSort!G47,InsertionSort!G53,InsertionSort!G59)</f>
        <v>3076937.1</v>
      </c>
    </row>
    <row r="4" spans="1:15" x14ac:dyDescent="0.45">
      <c r="A4" s="52" t="s">
        <v>3</v>
      </c>
      <c r="B4" s="53">
        <v>10</v>
      </c>
      <c r="C4" s="53">
        <v>100</v>
      </c>
      <c r="D4" s="53">
        <v>1000</v>
      </c>
      <c r="E4" s="53">
        <v>10000</v>
      </c>
      <c r="F4" s="53">
        <v>100000</v>
      </c>
      <c r="G4" s="53">
        <v>1000000</v>
      </c>
      <c r="I4" s="26" t="s">
        <v>1</v>
      </c>
      <c r="J4" s="42">
        <f>AVERAGE(InsertionSort!B6,InsertionSort!B12,InsertionSort!B18,InsertionSort!B24,InsertionSort!B30,InsertionSort!B36,InsertionSort!B42,InsertionSort!B48,InsertionSort!B54,InsertionSort!B60)</f>
        <v>21.1</v>
      </c>
      <c r="K4" s="42">
        <f>AVERAGE(InsertionSort!C6,InsertionSort!C12,InsertionSort!C18,InsertionSort!C24,InsertionSort!C30,InsertionSort!C36,InsertionSort!C42,InsertionSort!C48,InsertionSort!C54,InsertionSort!C60)</f>
        <v>2465.5</v>
      </c>
      <c r="L4" s="42">
        <f>AVERAGE(InsertionSort!D6,InsertionSort!D12,InsertionSort!D18,InsertionSort!D24,InsertionSort!D30,InsertionSort!D36,InsertionSort!D42,InsertionSort!D48,InsertionSort!D54,InsertionSort!D60)</f>
        <v>2698921.3</v>
      </c>
      <c r="M4" s="42">
        <f>AVERAGE(InsertionSort!E6,InsertionSort!E12,InsertionSort!E18,InsertionSort!E24,InsertionSort!E30,InsertionSort!E36,InsertionSort!E42,InsertionSort!E48,InsertionSort!E54,InsertionSort!E60)</f>
        <v>22747973.699999999</v>
      </c>
      <c r="N4" s="42">
        <f>AVERAGE(InsertionSort!F6,InsertionSort!F12,InsertionSort!F18,InsertionSort!F24,InsertionSort!F30,InsertionSort!F36,InsertionSort!F42,InsertionSort!F48,InsertionSort!F54,InsertionSort!F60)</f>
        <v>2470254556.9000001</v>
      </c>
      <c r="O4" s="42">
        <f>AVERAGE(InsertionSort!G6,InsertionSort!G12,InsertionSort!G18,InsertionSort!G24,InsertionSort!G30,InsertionSort!G36,InsertionSort!G42,InsertionSort!G48,InsertionSort!G54,InsertionSort!G60)</f>
        <v>247500727304.20001</v>
      </c>
    </row>
    <row r="5" spans="1:15" x14ac:dyDescent="0.45">
      <c r="A5" s="52" t="s">
        <v>0</v>
      </c>
      <c r="B5" s="53">
        <v>1</v>
      </c>
      <c r="C5" s="53">
        <v>0</v>
      </c>
      <c r="D5" s="53">
        <v>11</v>
      </c>
      <c r="E5" s="53">
        <v>412</v>
      </c>
      <c r="F5" s="53">
        <v>8782</v>
      </c>
      <c r="G5" s="52">
        <v>4885045</v>
      </c>
      <c r="I5" s="26" t="s">
        <v>2</v>
      </c>
      <c r="J5" s="42">
        <f>AVERAGE(InsertionSort!D7,InsertionSort!B13,InsertionSort!B19,InsertionSort!B25,InsertionSort!B31,InsertionSort!B37,InsertionSort!B43,InsertionSort!B49,InsertionSort!B55,InsertionSort!B61)</f>
        <v>25029.200000000001</v>
      </c>
      <c r="K5" s="42">
        <f>AVERAGE(InsertionSort!E7,InsertionSort!C13,InsertionSort!C19,InsertionSort!C25,InsertionSort!C31,InsertionSort!C37,InsertionSort!C43,InsertionSort!C49,InsertionSort!C55,InsertionSort!C61)</f>
        <v>2488980.9</v>
      </c>
      <c r="L5" s="42">
        <f>AVERAGE(InsertionSort!F7,InsertionSort!D13,InsertionSort!D19,InsertionSort!D25,InsertionSort!D31,InsertionSort!D37,InsertionSort!D43,InsertionSort!D49,InsertionSort!D55,InsertionSort!D61)</f>
        <v>248328652.09999999</v>
      </c>
      <c r="M5" s="42">
        <f>AVERAGE(InsertionSort!G7,InsertionSort!E13,InsertionSort!E19,InsertionSort!E25,InsertionSort!E31,InsertionSort!E37,InsertionSort!E43,InsertionSort!E49,InsertionSort!E55,InsertionSort!E61)</f>
        <v>24762037447.700001</v>
      </c>
      <c r="N5" s="42">
        <f>AVERAGE(F7,InsertionSort!F13,InsertionSort!F19,InsertionSort!F25,InsertionSort!F31,InsertionSort!F37,InsertionSort!F43,InsertionSort!F49,InsertionSort!F55,InsertionSort!F61)</f>
        <v>2476732319.6999998</v>
      </c>
      <c r="O5" s="42">
        <f>AVERAGE(MergeSort!A7,InsertionSort!G13,InsertionSort!G19,InsertionSort!G25,InsertionSort!G31,InsertionSort!G37,InsertionSort!G43,InsertionSort!G47,InsertionSort!G55,InsertionSort!G61)</f>
        <v>219983106158.77777</v>
      </c>
    </row>
    <row r="6" spans="1:15" x14ac:dyDescent="0.45">
      <c r="A6" s="52" t="s">
        <v>1</v>
      </c>
      <c r="B6" s="53">
        <v>20</v>
      </c>
      <c r="C6" s="53">
        <v>2535</v>
      </c>
      <c r="D6" s="53">
        <v>252360</v>
      </c>
      <c r="E6" s="53">
        <v>24576245</v>
      </c>
      <c r="F6" s="53">
        <v>2463898384</v>
      </c>
      <c r="G6" s="52">
        <v>247419578087</v>
      </c>
    </row>
    <row r="7" spans="1:15" x14ac:dyDescent="0.45">
      <c r="A7" s="52" t="s">
        <v>2</v>
      </c>
      <c r="B7" s="53">
        <v>26</v>
      </c>
      <c r="C7" s="53">
        <v>2552</v>
      </c>
      <c r="D7" s="53">
        <v>250099</v>
      </c>
      <c r="E7" s="53">
        <v>24867994</v>
      </c>
      <c r="F7" s="53">
        <v>2481059667</v>
      </c>
      <c r="G7" s="52">
        <v>247418578088</v>
      </c>
    </row>
    <row r="8" spans="1:15" x14ac:dyDescent="0.45">
      <c r="A8" s="49"/>
      <c r="B8" s="54"/>
      <c r="C8" s="49"/>
      <c r="D8" s="49"/>
      <c r="E8" s="49"/>
      <c r="F8" s="49"/>
      <c r="G8" s="48"/>
    </row>
    <row r="9" spans="1:15" x14ac:dyDescent="0.45">
      <c r="A9" s="52" t="s">
        <v>8</v>
      </c>
      <c r="B9" s="52"/>
      <c r="C9" s="52"/>
      <c r="D9" s="52"/>
      <c r="E9" s="52"/>
      <c r="F9" s="52"/>
      <c r="G9" s="52"/>
    </row>
    <row r="10" spans="1:15" x14ac:dyDescent="0.45">
      <c r="A10" s="52" t="s">
        <v>3</v>
      </c>
      <c r="B10" s="53">
        <v>10</v>
      </c>
      <c r="C10" s="53">
        <v>100</v>
      </c>
      <c r="D10" s="53">
        <v>1000</v>
      </c>
      <c r="E10" s="53">
        <v>10000</v>
      </c>
      <c r="F10" s="53">
        <v>100000</v>
      </c>
      <c r="G10" s="53">
        <v>1000000</v>
      </c>
    </row>
    <row r="11" spans="1:15" x14ac:dyDescent="0.45">
      <c r="A11" s="52" t="s">
        <v>0</v>
      </c>
      <c r="B11" s="53">
        <v>1</v>
      </c>
      <c r="C11" s="53">
        <v>0</v>
      </c>
      <c r="D11" s="53">
        <v>17</v>
      </c>
      <c r="E11" s="53">
        <v>638</v>
      </c>
      <c r="F11" s="53">
        <v>43619</v>
      </c>
      <c r="G11" s="52">
        <v>1042435</v>
      </c>
    </row>
    <row r="12" spans="1:15" x14ac:dyDescent="0.45">
      <c r="A12" s="52" t="s">
        <v>1</v>
      </c>
      <c r="B12" s="53">
        <v>16</v>
      </c>
      <c r="C12" s="53">
        <v>2575</v>
      </c>
      <c r="D12" s="53">
        <v>24745920</v>
      </c>
      <c r="E12" s="53">
        <v>4745920</v>
      </c>
      <c r="F12" s="53">
        <v>2470485380</v>
      </c>
      <c r="G12" s="52">
        <v>247336863577</v>
      </c>
    </row>
    <row r="13" spans="1:15" x14ac:dyDescent="0.45">
      <c r="A13" s="52" t="s">
        <v>2</v>
      </c>
      <c r="B13" s="53">
        <v>17</v>
      </c>
      <c r="C13" s="53">
        <v>2569</v>
      </c>
      <c r="D13" s="53">
        <v>243489</v>
      </c>
      <c r="E13" s="53">
        <v>24455437</v>
      </c>
      <c r="F13" s="53">
        <v>2476388265</v>
      </c>
      <c r="G13" s="52">
        <v>247335863578</v>
      </c>
    </row>
    <row r="14" spans="1:15" x14ac:dyDescent="0.45">
      <c r="A14" s="49"/>
      <c r="B14" s="54"/>
      <c r="C14" s="49"/>
      <c r="D14" s="49"/>
      <c r="E14" s="49"/>
      <c r="F14" s="49"/>
      <c r="G14" s="48"/>
    </row>
    <row r="15" spans="1:15" x14ac:dyDescent="0.45">
      <c r="A15" s="52" t="s">
        <v>9</v>
      </c>
      <c r="B15" s="52"/>
      <c r="C15" s="52"/>
      <c r="D15" s="52"/>
      <c r="E15" s="52"/>
      <c r="F15" s="52"/>
      <c r="G15" s="52"/>
    </row>
    <row r="16" spans="1:15" x14ac:dyDescent="0.45">
      <c r="A16" s="52" t="s">
        <v>3</v>
      </c>
      <c r="B16" s="53">
        <v>10</v>
      </c>
      <c r="C16" s="53">
        <v>100</v>
      </c>
      <c r="D16" s="53">
        <v>1000</v>
      </c>
      <c r="E16" s="53">
        <v>10000</v>
      </c>
      <c r="F16" s="53">
        <v>100000</v>
      </c>
      <c r="G16" s="53">
        <v>1000000</v>
      </c>
    </row>
    <row r="17" spans="1:15" x14ac:dyDescent="0.45">
      <c r="A17" s="52" t="s">
        <v>0</v>
      </c>
      <c r="B17" s="53">
        <v>1</v>
      </c>
      <c r="C17" s="53">
        <v>2</v>
      </c>
      <c r="D17" s="53">
        <v>68</v>
      </c>
      <c r="E17" s="53">
        <v>913</v>
      </c>
      <c r="F17" s="53">
        <v>19219</v>
      </c>
      <c r="G17" s="52">
        <v>3743662</v>
      </c>
    </row>
    <row r="18" spans="1:15" x14ac:dyDescent="0.45">
      <c r="A18" s="52" t="s">
        <v>1</v>
      </c>
      <c r="B18" s="53">
        <v>29</v>
      </c>
      <c r="C18" s="53">
        <v>2217</v>
      </c>
      <c r="D18" s="53">
        <v>251647</v>
      </c>
      <c r="E18" s="53">
        <v>24857018</v>
      </c>
      <c r="F18" s="53">
        <v>2478976078</v>
      </c>
      <c r="G18" s="52">
        <v>247181371030</v>
      </c>
    </row>
    <row r="19" spans="1:15" x14ac:dyDescent="0.45">
      <c r="A19" s="52" t="s">
        <v>2</v>
      </c>
      <c r="B19" s="53">
        <v>19</v>
      </c>
      <c r="C19" s="53">
        <v>2152</v>
      </c>
      <c r="D19" s="53">
        <v>243335</v>
      </c>
      <c r="E19" s="53">
        <v>24767402</v>
      </c>
      <c r="F19" s="53">
        <v>2469520418</v>
      </c>
      <c r="G19" s="52">
        <v>247180371031</v>
      </c>
    </row>
    <row r="20" spans="1:15" x14ac:dyDescent="0.45">
      <c r="A20" s="49"/>
      <c r="B20" s="54"/>
      <c r="C20" s="49"/>
      <c r="D20" s="49"/>
      <c r="E20" s="49"/>
      <c r="F20" s="49"/>
      <c r="G20" s="48"/>
    </row>
    <row r="21" spans="1:15" x14ac:dyDescent="0.45">
      <c r="A21" s="52" t="s">
        <v>10</v>
      </c>
      <c r="B21" s="52"/>
      <c r="C21" s="52"/>
      <c r="D21" s="52"/>
      <c r="E21" s="52"/>
      <c r="F21" s="52"/>
      <c r="G21" s="52"/>
    </row>
    <row r="22" spans="1:15" x14ac:dyDescent="0.45">
      <c r="A22" s="52" t="s">
        <v>3</v>
      </c>
      <c r="B22" s="53">
        <v>10</v>
      </c>
      <c r="C22" s="53">
        <v>100</v>
      </c>
      <c r="D22" s="53">
        <v>1000</v>
      </c>
      <c r="E22" s="53">
        <v>10000</v>
      </c>
      <c r="F22" s="53">
        <v>100000</v>
      </c>
      <c r="G22" s="53">
        <v>1000000</v>
      </c>
    </row>
    <row r="23" spans="1:15" x14ac:dyDescent="0.45">
      <c r="A23" s="52" t="s">
        <v>0</v>
      </c>
      <c r="B23" s="53">
        <v>2</v>
      </c>
      <c r="C23" s="53">
        <v>0</v>
      </c>
      <c r="D23" s="53">
        <v>56</v>
      </c>
      <c r="E23" s="53">
        <v>803</v>
      </c>
      <c r="F23" s="53">
        <v>22949</v>
      </c>
      <c r="G23" s="52">
        <v>3748545</v>
      </c>
    </row>
    <row r="24" spans="1:15" x14ac:dyDescent="0.45">
      <c r="A24" s="52" t="s">
        <v>1</v>
      </c>
      <c r="B24" s="53">
        <v>14</v>
      </c>
      <c r="C24" s="53">
        <v>2553</v>
      </c>
      <c r="D24" s="53">
        <v>253151</v>
      </c>
      <c r="E24" s="53">
        <v>24795077</v>
      </c>
      <c r="F24" s="53">
        <v>2475410164</v>
      </c>
      <c r="G24" s="52">
        <v>247731469847</v>
      </c>
      <c r="I24" s="26" t="s">
        <v>21</v>
      </c>
      <c r="J24" s="26"/>
      <c r="K24" s="26"/>
      <c r="L24" s="26"/>
      <c r="M24" s="26"/>
      <c r="N24" s="26"/>
      <c r="O24" s="26"/>
    </row>
    <row r="25" spans="1:15" x14ac:dyDescent="0.45">
      <c r="A25" s="52" t="s">
        <v>2</v>
      </c>
      <c r="B25" s="53">
        <v>24</v>
      </c>
      <c r="C25" s="53">
        <v>2539</v>
      </c>
      <c r="D25" s="53">
        <v>254169</v>
      </c>
      <c r="E25" s="53">
        <v>24695872</v>
      </c>
      <c r="F25" s="53">
        <v>2479758471</v>
      </c>
      <c r="G25" s="52">
        <v>247730469848</v>
      </c>
      <c r="I25" s="26" t="s">
        <v>3</v>
      </c>
      <c r="J25" s="42">
        <v>10</v>
      </c>
      <c r="K25" s="42">
        <v>100</v>
      </c>
      <c r="L25" s="42">
        <v>1000</v>
      </c>
      <c r="M25" s="42">
        <v>10000</v>
      </c>
      <c r="N25" s="42">
        <v>100000</v>
      </c>
      <c r="O25" s="42">
        <v>1000000</v>
      </c>
    </row>
    <row r="26" spans="1:15" x14ac:dyDescent="0.45">
      <c r="A26" s="49"/>
      <c r="B26" s="54"/>
      <c r="C26" s="49"/>
      <c r="D26" s="49"/>
      <c r="E26" s="49"/>
      <c r="F26" s="49"/>
      <c r="G26" s="48"/>
      <c r="I26" s="26" t="s">
        <v>0</v>
      </c>
      <c r="J26" s="42">
        <v>1</v>
      </c>
      <c r="K26" s="42">
        <v>2</v>
      </c>
      <c r="L26" s="42">
        <v>68</v>
      </c>
      <c r="M26" s="42">
        <v>913</v>
      </c>
      <c r="N26" s="42">
        <v>19219</v>
      </c>
      <c r="O26" s="26">
        <v>3743662</v>
      </c>
    </row>
    <row r="27" spans="1:15" x14ac:dyDescent="0.45">
      <c r="A27" s="52" t="s">
        <v>11</v>
      </c>
      <c r="B27" s="52"/>
      <c r="C27" s="52"/>
      <c r="D27" s="52"/>
      <c r="E27" s="52"/>
      <c r="F27" s="52"/>
      <c r="G27" s="52"/>
      <c r="I27" s="26" t="s">
        <v>1</v>
      </c>
      <c r="J27" s="42">
        <v>29</v>
      </c>
      <c r="K27" s="42">
        <v>2217</v>
      </c>
      <c r="L27" s="42">
        <v>251647</v>
      </c>
      <c r="M27" s="42">
        <v>24857018</v>
      </c>
      <c r="N27" s="42">
        <v>2478976078</v>
      </c>
      <c r="O27" s="26">
        <v>247181371030</v>
      </c>
    </row>
    <row r="28" spans="1:15" x14ac:dyDescent="0.45">
      <c r="A28" s="52" t="s">
        <v>3</v>
      </c>
      <c r="B28" s="53">
        <v>10</v>
      </c>
      <c r="C28" s="53">
        <v>100</v>
      </c>
      <c r="D28" s="53">
        <v>1000</v>
      </c>
      <c r="E28" s="53">
        <v>10000</v>
      </c>
      <c r="F28" s="53">
        <v>100000</v>
      </c>
      <c r="G28" s="53">
        <v>1000000</v>
      </c>
      <c r="I28" s="26" t="s">
        <v>2</v>
      </c>
      <c r="J28" s="42">
        <v>19</v>
      </c>
      <c r="K28" s="42">
        <v>2152</v>
      </c>
      <c r="L28" s="42">
        <v>243335</v>
      </c>
      <c r="M28" s="42">
        <v>24767402</v>
      </c>
      <c r="N28" s="42">
        <v>2469520418</v>
      </c>
      <c r="O28" s="26">
        <v>247180371031</v>
      </c>
    </row>
    <row r="29" spans="1:15" x14ac:dyDescent="0.45">
      <c r="A29" s="52" t="s">
        <v>0</v>
      </c>
      <c r="B29" s="53">
        <v>0</v>
      </c>
      <c r="C29" s="53">
        <v>0</v>
      </c>
      <c r="D29" s="53">
        <v>66</v>
      </c>
      <c r="E29" s="53">
        <v>861</v>
      </c>
      <c r="F29" s="53">
        <v>22543</v>
      </c>
      <c r="G29" s="52">
        <v>3748545</v>
      </c>
    </row>
    <row r="30" spans="1:15" x14ac:dyDescent="0.45">
      <c r="A30" s="52" t="s">
        <v>1</v>
      </c>
      <c r="B30" s="53">
        <v>13</v>
      </c>
      <c r="C30" s="53">
        <v>2459</v>
      </c>
      <c r="D30" s="53">
        <v>248725</v>
      </c>
      <c r="E30" s="53">
        <v>24906899</v>
      </c>
      <c r="F30" s="53">
        <v>2475256811</v>
      </c>
      <c r="G30" s="52">
        <v>247731469847</v>
      </c>
    </row>
    <row r="31" spans="1:15" x14ac:dyDescent="0.45">
      <c r="A31" s="52" t="s">
        <v>2</v>
      </c>
      <c r="B31" s="53">
        <v>24</v>
      </c>
      <c r="C31" s="53">
        <v>2539</v>
      </c>
      <c r="D31" s="53">
        <v>254169</v>
      </c>
      <c r="E31" s="53">
        <v>24695872</v>
      </c>
      <c r="F31" s="53">
        <v>2479758471</v>
      </c>
      <c r="G31" s="52">
        <v>247730469848</v>
      </c>
    </row>
    <row r="32" spans="1:15" x14ac:dyDescent="0.45">
      <c r="A32" s="49"/>
      <c r="B32" s="54"/>
      <c r="C32" s="49"/>
      <c r="D32" s="49"/>
      <c r="E32" s="49"/>
      <c r="F32" s="49"/>
      <c r="G32" s="48"/>
    </row>
    <row r="33" spans="1:15" x14ac:dyDescent="0.45">
      <c r="A33" s="52" t="s">
        <v>12</v>
      </c>
      <c r="B33" s="52"/>
      <c r="C33" s="52"/>
      <c r="D33" s="52"/>
      <c r="E33" s="52"/>
      <c r="F33" s="52"/>
      <c r="G33" s="52"/>
    </row>
    <row r="34" spans="1:15" x14ac:dyDescent="0.45">
      <c r="A34" s="52" t="s">
        <v>3</v>
      </c>
      <c r="B34" s="53">
        <v>10</v>
      </c>
      <c r="C34" s="53">
        <v>100</v>
      </c>
      <c r="D34" s="53">
        <v>1000</v>
      </c>
      <c r="E34" s="53">
        <v>10000</v>
      </c>
      <c r="F34" s="53">
        <v>100000</v>
      </c>
      <c r="G34" s="53">
        <v>1000000</v>
      </c>
    </row>
    <row r="35" spans="1:15" x14ac:dyDescent="0.45">
      <c r="A35" s="52" t="s">
        <v>0</v>
      </c>
      <c r="B35" s="53">
        <v>1</v>
      </c>
      <c r="C35" s="53">
        <v>1</v>
      </c>
      <c r="D35" s="53">
        <v>12</v>
      </c>
      <c r="E35" s="53">
        <v>403</v>
      </c>
      <c r="F35" s="53">
        <v>37163</v>
      </c>
      <c r="G35" s="52">
        <v>4043896</v>
      </c>
    </row>
    <row r="36" spans="1:15" x14ac:dyDescent="0.45">
      <c r="A36" s="52" t="s">
        <v>1</v>
      </c>
      <c r="B36" s="53">
        <v>18</v>
      </c>
      <c r="C36" s="53">
        <v>2218</v>
      </c>
      <c r="D36" s="53">
        <v>247729</v>
      </c>
      <c r="E36" s="53">
        <v>24419431</v>
      </c>
      <c r="F36" s="53">
        <v>2461791067</v>
      </c>
      <c r="G36" s="52">
        <v>247514635753</v>
      </c>
    </row>
    <row r="37" spans="1:15" x14ac:dyDescent="0.45">
      <c r="A37" s="52" t="s">
        <v>2</v>
      </c>
      <c r="B37" s="53">
        <v>25</v>
      </c>
      <c r="C37" s="53">
        <v>2755</v>
      </c>
      <c r="D37" s="53">
        <v>251596</v>
      </c>
      <c r="E37" s="53">
        <v>24444026</v>
      </c>
      <c r="F37" s="53">
        <v>2481434012</v>
      </c>
      <c r="G37" s="52">
        <v>247513635754</v>
      </c>
    </row>
    <row r="38" spans="1:15" x14ac:dyDescent="0.45">
      <c r="A38" s="49"/>
      <c r="B38" s="54"/>
      <c r="C38" s="49"/>
      <c r="D38" s="49"/>
      <c r="E38" s="49"/>
      <c r="F38" s="49"/>
      <c r="G38" s="48"/>
    </row>
    <row r="39" spans="1:15" x14ac:dyDescent="0.45">
      <c r="A39" s="52" t="s">
        <v>13</v>
      </c>
      <c r="B39" s="52"/>
      <c r="C39" s="52"/>
      <c r="D39" s="52"/>
      <c r="E39" s="52"/>
      <c r="F39" s="52"/>
      <c r="G39" s="52"/>
    </row>
    <row r="40" spans="1:15" x14ac:dyDescent="0.45">
      <c r="A40" s="52" t="s">
        <v>3</v>
      </c>
      <c r="B40" s="53">
        <v>10</v>
      </c>
      <c r="C40" s="53">
        <v>100</v>
      </c>
      <c r="D40" s="53">
        <v>1000</v>
      </c>
      <c r="E40" s="53">
        <v>10000</v>
      </c>
      <c r="F40" s="53">
        <v>100000</v>
      </c>
      <c r="G40" s="53">
        <v>1000000</v>
      </c>
    </row>
    <row r="41" spans="1:15" x14ac:dyDescent="0.45">
      <c r="A41" s="52" t="s">
        <v>0</v>
      </c>
      <c r="B41" s="53">
        <v>3</v>
      </c>
      <c r="C41" s="53">
        <v>0</v>
      </c>
      <c r="D41" s="53">
        <v>22</v>
      </c>
      <c r="E41" s="53">
        <v>719</v>
      </c>
      <c r="F41" s="53">
        <v>16625</v>
      </c>
      <c r="G41" s="52">
        <v>4048334</v>
      </c>
    </row>
    <row r="42" spans="1:15" x14ac:dyDescent="0.45">
      <c r="A42" s="52" t="s">
        <v>1</v>
      </c>
      <c r="B42" s="53">
        <v>31</v>
      </c>
      <c r="C42" s="53">
        <v>2476</v>
      </c>
      <c r="D42" s="53">
        <v>243002</v>
      </c>
      <c r="E42" s="53">
        <v>24736817</v>
      </c>
      <c r="F42" s="53">
        <v>2468310878</v>
      </c>
      <c r="G42" s="52">
        <v>247504524397</v>
      </c>
    </row>
    <row r="43" spans="1:15" x14ac:dyDescent="0.45">
      <c r="A43" s="52" t="s">
        <v>2</v>
      </c>
      <c r="B43" s="53">
        <v>14</v>
      </c>
      <c r="C43" s="53">
        <v>2442</v>
      </c>
      <c r="D43" s="53">
        <v>257421</v>
      </c>
      <c r="E43" s="53">
        <v>24821732</v>
      </c>
      <c r="F43" s="53">
        <v>2481730261</v>
      </c>
      <c r="G43" s="52">
        <v>247503524398</v>
      </c>
    </row>
    <row r="44" spans="1:15" x14ac:dyDescent="0.45">
      <c r="A44" s="49"/>
      <c r="B44" s="54"/>
      <c r="C44" s="49"/>
      <c r="D44" s="49"/>
      <c r="E44" s="49"/>
      <c r="F44" s="49"/>
      <c r="G44" s="48"/>
    </row>
    <row r="45" spans="1:15" x14ac:dyDescent="0.45">
      <c r="A45" s="52" t="s">
        <v>14</v>
      </c>
      <c r="B45" s="52"/>
      <c r="C45" s="52"/>
      <c r="D45" s="52"/>
      <c r="E45" s="52"/>
      <c r="F45" s="52"/>
      <c r="G45" s="52"/>
    </row>
    <row r="46" spans="1:15" x14ac:dyDescent="0.45">
      <c r="A46" s="52" t="s">
        <v>3</v>
      </c>
      <c r="B46" s="53">
        <v>10</v>
      </c>
      <c r="C46" s="53">
        <v>100</v>
      </c>
      <c r="D46" s="53">
        <v>1000</v>
      </c>
      <c r="E46" s="53">
        <v>10000</v>
      </c>
      <c r="F46" s="53">
        <v>100000</v>
      </c>
      <c r="G46" s="53">
        <v>1000000</v>
      </c>
    </row>
    <row r="47" spans="1:15" x14ac:dyDescent="0.45">
      <c r="A47" s="52" t="s">
        <v>0</v>
      </c>
      <c r="B47" s="53">
        <v>2</v>
      </c>
      <c r="C47" s="53">
        <v>0</v>
      </c>
      <c r="D47" s="53">
        <v>51</v>
      </c>
      <c r="E47" s="53">
        <v>1099</v>
      </c>
      <c r="F47" s="53">
        <v>22048</v>
      </c>
      <c r="G47" s="52">
        <v>3591075</v>
      </c>
      <c r="I47" s="26" t="s">
        <v>26</v>
      </c>
      <c r="J47" s="26"/>
      <c r="K47" s="26"/>
      <c r="L47" s="26"/>
      <c r="M47" s="26"/>
      <c r="N47" s="26"/>
      <c r="O47" s="26"/>
    </row>
    <row r="48" spans="1:15" x14ac:dyDescent="0.45">
      <c r="A48" s="52" t="s">
        <v>1</v>
      </c>
      <c r="B48" s="53">
        <v>20</v>
      </c>
      <c r="C48" s="53">
        <v>2737</v>
      </c>
      <c r="D48" s="53">
        <v>243212</v>
      </c>
      <c r="E48" s="53">
        <v>24897093</v>
      </c>
      <c r="F48" s="53">
        <v>2470770240</v>
      </c>
      <c r="G48" s="52">
        <v>247735330609</v>
      </c>
      <c r="I48" s="26" t="s">
        <v>3</v>
      </c>
      <c r="J48" s="42">
        <v>10</v>
      </c>
      <c r="K48" s="42">
        <v>100</v>
      </c>
      <c r="L48" s="42">
        <v>1000</v>
      </c>
      <c r="M48" s="42">
        <v>10000</v>
      </c>
      <c r="N48" s="42">
        <v>100000</v>
      </c>
      <c r="O48" s="42">
        <v>1000000</v>
      </c>
    </row>
    <row r="49" spans="1:15" x14ac:dyDescent="0.45">
      <c r="A49" s="52" t="s">
        <v>2</v>
      </c>
      <c r="B49" s="53">
        <v>21</v>
      </c>
      <c r="C49" s="53">
        <v>2128</v>
      </c>
      <c r="D49" s="53">
        <v>241781</v>
      </c>
      <c r="E49" s="53">
        <v>24758338</v>
      </c>
      <c r="F49" s="53">
        <v>2471108241</v>
      </c>
      <c r="G49" s="52">
        <v>247734330610</v>
      </c>
      <c r="I49" s="26" t="s">
        <v>0</v>
      </c>
      <c r="J49" s="42">
        <v>0</v>
      </c>
      <c r="K49" s="42">
        <v>0</v>
      </c>
      <c r="L49" s="42">
        <v>55</v>
      </c>
      <c r="M49" s="42">
        <v>863</v>
      </c>
      <c r="N49" s="42">
        <v>25543</v>
      </c>
      <c r="O49" s="26">
        <v>885812</v>
      </c>
    </row>
    <row r="50" spans="1:15" x14ac:dyDescent="0.45">
      <c r="A50" s="49"/>
      <c r="B50" s="54"/>
      <c r="C50" s="49"/>
      <c r="D50" s="49"/>
      <c r="E50" s="49"/>
      <c r="F50" s="49"/>
      <c r="G50" s="48"/>
      <c r="I50" s="26" t="s">
        <v>1</v>
      </c>
      <c r="J50" s="42">
        <v>28</v>
      </c>
      <c r="K50" s="42">
        <v>2308</v>
      </c>
      <c r="L50" s="42">
        <v>250239</v>
      </c>
      <c r="M50" s="42">
        <v>24633668</v>
      </c>
      <c r="N50" s="42">
        <v>2464579009</v>
      </c>
      <c r="O50" s="26">
        <v>247441054725</v>
      </c>
    </row>
    <row r="51" spans="1:15" x14ac:dyDescent="0.45">
      <c r="A51" s="52" t="s">
        <v>15</v>
      </c>
      <c r="B51" s="52"/>
      <c r="C51" s="52"/>
      <c r="D51" s="52"/>
      <c r="E51" s="52"/>
      <c r="F51" s="52"/>
      <c r="G51" s="52"/>
      <c r="I51" s="26" t="s">
        <v>2</v>
      </c>
      <c r="J51" s="42">
        <v>21</v>
      </c>
      <c r="K51" s="42">
        <v>2361</v>
      </c>
      <c r="L51" s="42">
        <v>240701</v>
      </c>
      <c r="M51" s="42">
        <v>24524267</v>
      </c>
      <c r="N51" s="42">
        <v>2470018759</v>
      </c>
      <c r="O51" s="26">
        <v>247440054726</v>
      </c>
    </row>
    <row r="52" spans="1:15" x14ac:dyDescent="0.45">
      <c r="A52" s="52" t="s">
        <v>3</v>
      </c>
      <c r="B52" s="53">
        <v>10</v>
      </c>
      <c r="C52" s="53">
        <v>100</v>
      </c>
      <c r="D52" s="53">
        <v>1000</v>
      </c>
      <c r="E52" s="53">
        <v>10000</v>
      </c>
      <c r="F52" s="53">
        <v>100000</v>
      </c>
      <c r="G52" s="53">
        <v>1000000</v>
      </c>
    </row>
    <row r="53" spans="1:15" x14ac:dyDescent="0.45">
      <c r="A53" s="52" t="s">
        <v>0</v>
      </c>
      <c r="B53" s="53">
        <v>0</v>
      </c>
      <c r="C53" s="53">
        <v>0</v>
      </c>
      <c r="D53" s="53">
        <v>55</v>
      </c>
      <c r="E53" s="53">
        <v>863</v>
      </c>
      <c r="F53" s="53">
        <v>25543</v>
      </c>
      <c r="G53" s="52">
        <v>885812</v>
      </c>
    </row>
    <row r="54" spans="1:15" x14ac:dyDescent="0.45">
      <c r="A54" s="52" t="s">
        <v>1</v>
      </c>
      <c r="B54" s="53">
        <v>28</v>
      </c>
      <c r="C54" s="53">
        <v>2308</v>
      </c>
      <c r="D54" s="53">
        <v>250239</v>
      </c>
      <c r="E54" s="53">
        <v>24633668</v>
      </c>
      <c r="F54" s="53">
        <v>2464579009</v>
      </c>
      <c r="G54" s="52">
        <v>247441054725</v>
      </c>
    </row>
    <row r="55" spans="1:15" x14ac:dyDescent="0.45">
      <c r="A55" s="52" t="s">
        <v>2</v>
      </c>
      <c r="B55" s="53">
        <v>21</v>
      </c>
      <c r="C55" s="53">
        <v>2361</v>
      </c>
      <c r="D55" s="53">
        <v>240701</v>
      </c>
      <c r="E55" s="53">
        <v>24524267</v>
      </c>
      <c r="F55" s="53">
        <v>2470018759</v>
      </c>
      <c r="G55" s="52">
        <v>247440054726</v>
      </c>
    </row>
    <row r="56" spans="1:15" x14ac:dyDescent="0.45">
      <c r="A56" s="49"/>
      <c r="B56" s="54"/>
      <c r="C56" s="49"/>
      <c r="D56" s="49"/>
      <c r="E56" s="49"/>
      <c r="F56" s="49"/>
      <c r="G56" s="48"/>
    </row>
    <row r="57" spans="1:15" x14ac:dyDescent="0.45">
      <c r="A57" s="52" t="s">
        <v>16</v>
      </c>
      <c r="B57" s="52"/>
      <c r="C57" s="52"/>
      <c r="D57" s="52"/>
      <c r="E57" s="52"/>
      <c r="F57" s="52"/>
      <c r="G57" s="52"/>
    </row>
    <row r="58" spans="1:15" x14ac:dyDescent="0.45">
      <c r="A58" s="52" t="s">
        <v>3</v>
      </c>
      <c r="B58" s="53">
        <v>10</v>
      </c>
      <c r="C58" s="53">
        <v>100</v>
      </c>
      <c r="D58" s="53">
        <v>1000</v>
      </c>
      <c r="E58" s="53">
        <v>10000</v>
      </c>
      <c r="F58" s="53">
        <v>100000</v>
      </c>
      <c r="G58" s="53">
        <v>1000000</v>
      </c>
    </row>
    <row r="59" spans="1:15" x14ac:dyDescent="0.45">
      <c r="A59" s="52" t="s">
        <v>0</v>
      </c>
      <c r="B59" s="53">
        <v>1</v>
      </c>
      <c r="C59" s="53">
        <v>0</v>
      </c>
      <c r="D59" s="53">
        <v>63</v>
      </c>
      <c r="E59" s="53">
        <v>1066</v>
      </c>
      <c r="F59" s="53">
        <v>126680</v>
      </c>
      <c r="G59" s="52">
        <v>1032022</v>
      </c>
    </row>
    <row r="60" spans="1:15" x14ac:dyDescent="0.45">
      <c r="A60" s="52" t="s">
        <v>1</v>
      </c>
      <c r="B60" s="53">
        <v>22</v>
      </c>
      <c r="C60" s="53">
        <v>2577</v>
      </c>
      <c r="D60" s="53">
        <v>253228</v>
      </c>
      <c r="E60" s="53">
        <v>24911569</v>
      </c>
      <c r="F60" s="53">
        <v>2473067558</v>
      </c>
      <c r="G60" s="52">
        <v>247410975170</v>
      </c>
    </row>
    <row r="61" spans="1:15" x14ac:dyDescent="0.45">
      <c r="A61" s="52" t="s">
        <v>2</v>
      </c>
      <c r="B61" s="53">
        <v>28</v>
      </c>
      <c r="C61" s="53">
        <v>2330</v>
      </c>
      <c r="D61" s="53">
        <v>240193</v>
      </c>
      <c r="E61" s="53">
        <v>4633443</v>
      </c>
      <c r="F61" s="53">
        <v>2476546632</v>
      </c>
      <c r="G61" s="52">
        <v>247409975171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2E8B-F839-4E1D-AAFB-5F2B12892B88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23" t="s">
        <v>18</v>
      </c>
      <c r="B1" s="25"/>
      <c r="C1" s="24"/>
      <c r="D1" s="24"/>
      <c r="E1" s="24"/>
      <c r="F1" s="24"/>
      <c r="G1" s="24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23"/>
      <c r="B2" s="24"/>
      <c r="C2" s="24"/>
      <c r="D2" s="24"/>
      <c r="E2" s="24"/>
      <c r="F2" s="24"/>
      <c r="G2" s="24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23" t="s">
        <v>7</v>
      </c>
      <c r="B3" s="6"/>
      <c r="C3" s="6"/>
      <c r="D3" s="6"/>
      <c r="E3" s="6"/>
      <c r="F3" s="6"/>
      <c r="G3" s="6"/>
      <c r="I3" s="26" t="s">
        <v>0</v>
      </c>
      <c r="J3" s="42">
        <f>AVERAGE(MergeSort!D5,MergeSort!B11,MergeSort!B17,MergeSort!B23,MergeSort!B29,MergeSort!B35,MergeSort!B41,MergeSort!B47,MergeSort!B53,MergeSort!B59)</f>
        <v>1.8</v>
      </c>
      <c r="K3" s="42">
        <f>AVERAGE(MergeSort!C5,MergeSort!C11,MergeSort!C17,MergeSort!C23,MergeSort!C29,MergeSort!C35,MergeSort!C41,MergeSort!C47,MergeSort!C53,MergeSort!C59)</f>
        <v>0.5</v>
      </c>
      <c r="L3" s="42">
        <f>AVERAGE(MergeSort!D5,MergeSort!D11,MergeSort!D17,MergeSort!D23,MergeSort!D29,MergeSort!D35,MergeSort!D41,MergeSort!D47,MergeSort!D53,MergeSort!D59)</f>
        <v>5.4</v>
      </c>
      <c r="M3" s="42">
        <f>AVERAGE(MergeSort!E5,MergeSort!E11,MergeSort!E17,MergeSort!E23,MergeSort!E29,MergeSort!E35,MergeSort!E41,MergeSort!E47,MergeSort!E53,MergeSort!E59)</f>
        <v>19.600000000000001</v>
      </c>
      <c r="N3" s="42">
        <f>AVERAGE(MergeSort!F5,MergeSort!F11,MergeSort!F17,MergeSort!F23,MergeSort!F29,MergeSort!F35,MergeSort!F41,MergeSort!F47,MergeSort!F53,MergeSort!F59)</f>
        <v>131.1</v>
      </c>
      <c r="O3" s="42">
        <f>AVERAGE(MergeSort!G5,MergeSort!G11,MergeSort!G17,MergeSort!G23,MergeSort!G29,MergeSort!G35,MergeSort!G41,MergeSort!G47,MergeSort!G53,MergeSort!G59)</f>
        <v>828.8</v>
      </c>
    </row>
    <row r="4" spans="1:15" x14ac:dyDescent="0.45">
      <c r="A4" s="6" t="s">
        <v>3</v>
      </c>
      <c r="B4" s="55">
        <v>10</v>
      </c>
      <c r="C4" s="55">
        <v>100</v>
      </c>
      <c r="D4" s="55">
        <v>1000</v>
      </c>
      <c r="E4" s="55">
        <v>10000</v>
      </c>
      <c r="F4" s="55">
        <v>100000</v>
      </c>
      <c r="G4" s="7">
        <v>1000000</v>
      </c>
      <c r="I4" s="26" t="s">
        <v>1</v>
      </c>
      <c r="J4" s="42">
        <f>AVERAGE(MergeSort!D6,MergeSort!B12,MergeSort!B18,MergeSort!B24,MergeSort!B30,MergeSort!B36,MergeSort!B42,MergeSort!B48,MergeSort!B54,MergeSort!B60)</f>
        <v>455</v>
      </c>
      <c r="K4" s="42">
        <f>AVERAGE(MergeSort!C6,MergeSort!C12,MergeSort!C18,MergeSort!C24,MergeSort!C30,MergeSort!C36,MergeSort!C42,MergeSort!C48,MergeSort!C54,MergeSort!C60)</f>
        <v>281.2</v>
      </c>
      <c r="L4" s="42">
        <f>AVERAGE(MergeSort!D6,MergeSort!D12,MergeSort!D18,MergeSort!D24,MergeSort!D30,MergeSort!D36,MergeSort!D42,MergeSort!D48,MergeSort!D54,MergeSort!D60)</f>
        <v>4391.6000000000004</v>
      </c>
      <c r="M4" s="42">
        <f>AVERAGE(MergeSort!E6,MergeSort!E12,MergeSort!E18,MergeSort!E24,MergeSort!E30,MergeSort!E36,MergeSort!E42,MergeSort!E48,MergeSort!E54,MergeSort!E60)</f>
        <v>61355.6</v>
      </c>
      <c r="N4" s="42">
        <f>AVERAGE(MergeSort!F6,MergeSort!F12,MergeSort!F18,MergeSort!F24,MergeSort!F30,MergeSort!F36,MergeSort!F42,MergeSort!F48,MergeSort!F54,MergeSort!F60)</f>
        <v>776437.3</v>
      </c>
      <c r="O4" s="42">
        <f>AVERAGE(MergeSort!G6,MergeSort!G12,MergeSort!G18,MergeSort!G24,MergeSort!G30,MergeSort!G36,MergeSort!G42,MergeSort!G48,MergeSort!G54,MergeSort!G60)</f>
        <v>9395200.5999999996</v>
      </c>
    </row>
    <row r="5" spans="1:15" x14ac:dyDescent="0.45">
      <c r="A5" s="6" t="s">
        <v>0</v>
      </c>
      <c r="B5" s="7">
        <v>5</v>
      </c>
      <c r="C5" s="7">
        <v>1</v>
      </c>
      <c r="D5" s="7">
        <v>7</v>
      </c>
      <c r="E5" s="7">
        <v>21</v>
      </c>
      <c r="F5" s="7">
        <v>278</v>
      </c>
      <c r="G5" s="7">
        <v>937</v>
      </c>
      <c r="I5" s="26" t="s">
        <v>2</v>
      </c>
      <c r="J5" s="42">
        <f>AVERAGE(MergeSort!D7,MergeSort!B13,MergeSort!B19,MergeSort!B25,MergeSort!B31,MergeSort!B37,MergeSort!B43,MergeSort!B49,MergeSort!B55,MergeSort!B61)</f>
        <v>894.1</v>
      </c>
      <c r="K5" s="42">
        <f>AVERAGE(MergeSort!E7,MergeSort!C13,MergeSort!C19,MergeSort!C25,MergeSort!C31,MergeSort!C37,MergeSort!C43,MergeSort!C49,MergeSort!C55,MergeSort!C61)</f>
        <v>12530.5</v>
      </c>
      <c r="L5" s="42">
        <f>AVERAGE(MergeSort!F7,MergeSort!D13,MergeSort!D19,MergeSort!D25,MergeSort!D31,MergeSort!D37,MergeSort!D43,MergeSort!D49,MergeSort!D55,MergeSort!D61)</f>
        <v>161459.70000000001</v>
      </c>
      <c r="M5" s="42">
        <f>AVERAGE(MergeSort!G7,MergeSort!E13,MergeSort!E19,MergeSort!E25,MergeSort!E31,MergeSort!E37,MergeSort!E43,MergeSort!E49,MergeSort!E55,MergeSort!E61)</f>
        <v>1975890.2</v>
      </c>
      <c r="N5" s="42">
        <f>AVERAGE(F7,MergeSort!F13,MergeSort!F19,MergeSort!F25,MergeSort!F31,MergeSort!F37,MergeSort!F43,MergeSort!F49,MergeSort!F55,MergeSort!F61)</f>
        <v>1536354.4</v>
      </c>
      <c r="O5" s="42">
        <f>AVERAGE(QuickSort!A7,MergeSort!G13,MergeSort!G19,MergeSort!G25,MergeSort!G31,MergeSort!G37,MergeSort!G43,MergeSort!G49,MergeSort!G55,MergeSort!G61)</f>
        <v>18674382.888888888</v>
      </c>
    </row>
    <row r="6" spans="1:15" x14ac:dyDescent="0.45">
      <c r="A6" s="6" t="s">
        <v>1</v>
      </c>
      <c r="B6" s="7">
        <v>16</v>
      </c>
      <c r="C6" s="7">
        <v>285</v>
      </c>
      <c r="D6" s="7">
        <v>4440</v>
      </c>
      <c r="E6" s="7">
        <v>61348</v>
      </c>
      <c r="F6" s="7">
        <v>776376</v>
      </c>
      <c r="G6" s="7">
        <v>9394501</v>
      </c>
    </row>
    <row r="7" spans="1:15" x14ac:dyDescent="0.45">
      <c r="A7" s="56" t="s">
        <v>2</v>
      </c>
      <c r="B7" s="57">
        <v>25</v>
      </c>
      <c r="C7" s="57">
        <v>544</v>
      </c>
      <c r="D7" s="57">
        <v>8734</v>
      </c>
      <c r="E7" s="57">
        <v>120429</v>
      </c>
      <c r="F7" s="7">
        <v>1536275</v>
      </c>
      <c r="G7" s="7">
        <v>18674613</v>
      </c>
    </row>
    <row r="8" spans="1:15" x14ac:dyDescent="0.45">
      <c r="A8" s="21"/>
      <c r="B8" s="58"/>
      <c r="C8" s="59"/>
      <c r="D8" s="59"/>
      <c r="E8" s="59"/>
      <c r="F8" s="59"/>
      <c r="G8" s="60"/>
    </row>
    <row r="9" spans="1:15" x14ac:dyDescent="0.45">
      <c r="A9" s="61" t="s">
        <v>8</v>
      </c>
      <c r="B9" s="6"/>
      <c r="C9" s="6"/>
      <c r="D9" s="6"/>
      <c r="E9" s="6"/>
      <c r="F9" s="6"/>
      <c r="G9" s="7"/>
    </row>
    <row r="10" spans="1:15" x14ac:dyDescent="0.45">
      <c r="A10" s="6" t="s">
        <v>3</v>
      </c>
      <c r="B10" s="55">
        <v>10</v>
      </c>
      <c r="C10" s="55">
        <v>100</v>
      </c>
      <c r="D10" s="55">
        <v>1000</v>
      </c>
      <c r="E10" s="55">
        <v>10000</v>
      </c>
      <c r="F10" s="55">
        <v>100000</v>
      </c>
      <c r="G10" s="7">
        <v>1000000</v>
      </c>
    </row>
    <row r="11" spans="1:15" x14ac:dyDescent="0.45">
      <c r="A11" s="6" t="s">
        <v>0</v>
      </c>
      <c r="B11" s="7">
        <v>1</v>
      </c>
      <c r="C11" s="7">
        <v>0</v>
      </c>
      <c r="D11" s="7">
        <v>4</v>
      </c>
      <c r="E11" s="7">
        <v>8</v>
      </c>
      <c r="F11" s="7">
        <v>107</v>
      </c>
      <c r="G11" s="7">
        <v>895</v>
      </c>
    </row>
    <row r="12" spans="1:15" x14ac:dyDescent="0.45">
      <c r="A12" s="6" t="s">
        <v>1</v>
      </c>
      <c r="B12" s="7">
        <v>14</v>
      </c>
      <c r="C12" s="7">
        <v>281</v>
      </c>
      <c r="D12" s="7">
        <v>4453</v>
      </c>
      <c r="E12" s="7">
        <v>61288</v>
      </c>
      <c r="F12" s="7">
        <v>776444</v>
      </c>
      <c r="G12" s="7">
        <v>9396123</v>
      </c>
    </row>
    <row r="13" spans="1:15" x14ac:dyDescent="0.45">
      <c r="A13" s="6" t="s">
        <v>2</v>
      </c>
      <c r="B13" s="7">
        <v>24</v>
      </c>
      <c r="C13" s="7">
        <v>549</v>
      </c>
      <c r="D13" s="7">
        <v>8716</v>
      </c>
      <c r="E13" s="7">
        <v>120456</v>
      </c>
      <c r="F13" s="7">
        <v>1536445</v>
      </c>
      <c r="G13" s="7">
        <v>18674973</v>
      </c>
    </row>
    <row r="14" spans="1:15" x14ac:dyDescent="0.45">
      <c r="A14" s="21"/>
      <c r="B14" s="22"/>
      <c r="C14" s="21"/>
      <c r="D14" s="21"/>
      <c r="E14" s="21"/>
      <c r="F14" s="21"/>
      <c r="G14" s="60"/>
    </row>
    <row r="15" spans="1:15" x14ac:dyDescent="0.45">
      <c r="A15" s="6" t="s">
        <v>9</v>
      </c>
      <c r="B15" s="6"/>
      <c r="C15" s="6"/>
      <c r="D15" s="6"/>
      <c r="E15" s="6"/>
      <c r="F15" s="6"/>
      <c r="G15" s="7"/>
    </row>
    <row r="16" spans="1:15" x14ac:dyDescent="0.45">
      <c r="A16" s="6" t="s">
        <v>3</v>
      </c>
      <c r="B16" s="7">
        <v>10</v>
      </c>
      <c r="C16" s="7">
        <v>100</v>
      </c>
      <c r="D16" s="7">
        <v>1000</v>
      </c>
      <c r="E16" s="7">
        <v>10000</v>
      </c>
      <c r="F16" s="7">
        <v>100000</v>
      </c>
      <c r="G16" s="7">
        <v>1000000</v>
      </c>
    </row>
    <row r="17" spans="1:15" x14ac:dyDescent="0.45">
      <c r="A17" s="6" t="s">
        <v>0</v>
      </c>
      <c r="B17" s="7">
        <v>1</v>
      </c>
      <c r="C17" s="7">
        <v>1</v>
      </c>
      <c r="D17" s="7">
        <v>9</v>
      </c>
      <c r="E17" s="7">
        <v>8</v>
      </c>
      <c r="F17" s="7">
        <v>126</v>
      </c>
      <c r="G17" s="7">
        <v>997</v>
      </c>
    </row>
    <row r="18" spans="1:15" x14ac:dyDescent="0.45">
      <c r="A18" s="6" t="s">
        <v>1</v>
      </c>
      <c r="B18" s="7">
        <v>9</v>
      </c>
      <c r="C18" s="7">
        <v>272</v>
      </c>
      <c r="D18" s="7">
        <v>4334</v>
      </c>
      <c r="E18" s="7">
        <v>61451</v>
      </c>
      <c r="F18" s="7">
        <v>776058</v>
      </c>
      <c r="G18" s="7">
        <v>9395628</v>
      </c>
    </row>
    <row r="19" spans="1:15" x14ac:dyDescent="0.45">
      <c r="A19" s="6" t="s">
        <v>2</v>
      </c>
      <c r="B19" s="7">
        <v>22</v>
      </c>
      <c r="C19" s="7">
        <v>540</v>
      </c>
      <c r="D19" s="7">
        <v>8677</v>
      </c>
      <c r="E19" s="7">
        <v>120490</v>
      </c>
      <c r="F19" s="7">
        <v>1536450</v>
      </c>
      <c r="G19" s="7">
        <v>18674642</v>
      </c>
    </row>
    <row r="20" spans="1:15" x14ac:dyDescent="0.45">
      <c r="A20" s="21"/>
      <c r="B20" s="22"/>
      <c r="C20" s="21"/>
      <c r="D20" s="21"/>
      <c r="E20" s="21"/>
      <c r="F20" s="21"/>
      <c r="G20" s="60"/>
    </row>
    <row r="21" spans="1:15" x14ac:dyDescent="0.45">
      <c r="A21" s="6" t="s">
        <v>10</v>
      </c>
      <c r="B21" s="6"/>
      <c r="C21" s="6"/>
      <c r="D21" s="6"/>
      <c r="E21" s="6"/>
      <c r="F21" s="6"/>
      <c r="G21" s="7"/>
    </row>
    <row r="22" spans="1:15" x14ac:dyDescent="0.45">
      <c r="A22" s="6" t="s">
        <v>3</v>
      </c>
      <c r="B22" s="7">
        <v>10</v>
      </c>
      <c r="C22" s="7">
        <v>100</v>
      </c>
      <c r="D22" s="7">
        <v>1000</v>
      </c>
      <c r="E22" s="7">
        <v>10000</v>
      </c>
      <c r="F22" s="7">
        <v>100000</v>
      </c>
      <c r="G22" s="7">
        <v>1000000</v>
      </c>
    </row>
    <row r="23" spans="1:15" x14ac:dyDescent="0.45">
      <c r="A23" s="6" t="s">
        <v>0</v>
      </c>
      <c r="B23" s="7">
        <v>1</v>
      </c>
      <c r="C23" s="7">
        <v>1</v>
      </c>
      <c r="D23" s="7">
        <v>6</v>
      </c>
      <c r="E23" s="7">
        <v>19</v>
      </c>
      <c r="F23" s="7">
        <v>99</v>
      </c>
      <c r="G23" s="7">
        <v>747</v>
      </c>
    </row>
    <row r="24" spans="1:15" x14ac:dyDescent="0.45">
      <c r="A24" s="6" t="s">
        <v>1</v>
      </c>
      <c r="B24" s="7">
        <v>13</v>
      </c>
      <c r="C24" s="7">
        <v>288</v>
      </c>
      <c r="D24" s="7">
        <v>4419</v>
      </c>
      <c r="E24" s="7">
        <v>61407</v>
      </c>
      <c r="F24" s="7">
        <v>776729</v>
      </c>
      <c r="G24" s="7">
        <v>9395345</v>
      </c>
      <c r="I24" s="26" t="s">
        <v>23</v>
      </c>
      <c r="J24" s="26"/>
      <c r="K24" s="26"/>
      <c r="L24" s="26"/>
      <c r="M24" s="26"/>
      <c r="N24" s="26"/>
      <c r="O24" s="26"/>
    </row>
    <row r="25" spans="1:15" x14ac:dyDescent="0.45">
      <c r="A25" s="6" t="s">
        <v>2</v>
      </c>
      <c r="B25" s="7">
        <v>24</v>
      </c>
      <c r="C25" s="7">
        <v>538</v>
      </c>
      <c r="D25" s="7">
        <v>8720</v>
      </c>
      <c r="E25" s="7">
        <v>120516</v>
      </c>
      <c r="F25" s="7">
        <v>1536624</v>
      </c>
      <c r="G25" s="7">
        <v>18673708</v>
      </c>
      <c r="I25" s="26" t="s">
        <v>3</v>
      </c>
      <c r="J25" s="72">
        <v>10</v>
      </c>
      <c r="K25" s="72">
        <v>100</v>
      </c>
      <c r="L25" s="72">
        <v>1000</v>
      </c>
      <c r="M25" s="72">
        <v>10000</v>
      </c>
      <c r="N25" s="72">
        <v>100000</v>
      </c>
      <c r="O25" s="42">
        <v>1000000</v>
      </c>
    </row>
    <row r="26" spans="1:15" x14ac:dyDescent="0.45">
      <c r="A26" s="21"/>
      <c r="B26" s="22"/>
      <c r="C26" s="21"/>
      <c r="D26" s="21"/>
      <c r="E26" s="21"/>
      <c r="F26" s="21"/>
      <c r="G26" s="60"/>
      <c r="I26" s="26" t="s">
        <v>0</v>
      </c>
      <c r="J26" s="42">
        <v>5</v>
      </c>
      <c r="K26" s="42">
        <v>1</v>
      </c>
      <c r="L26" s="42">
        <v>7</v>
      </c>
      <c r="M26" s="42">
        <v>21</v>
      </c>
      <c r="N26" s="42">
        <v>278</v>
      </c>
      <c r="O26" s="42">
        <v>937</v>
      </c>
    </row>
    <row r="27" spans="1:15" x14ac:dyDescent="0.45">
      <c r="A27" s="6" t="s">
        <v>11</v>
      </c>
      <c r="B27" s="6"/>
      <c r="C27" s="6"/>
      <c r="D27" s="6"/>
      <c r="E27" s="6"/>
      <c r="F27" s="6"/>
      <c r="G27" s="7"/>
      <c r="I27" s="26" t="s">
        <v>1</v>
      </c>
      <c r="J27" s="42">
        <v>16</v>
      </c>
      <c r="K27" s="42">
        <v>285</v>
      </c>
      <c r="L27" s="42">
        <v>4440</v>
      </c>
      <c r="M27" s="42">
        <v>61348</v>
      </c>
      <c r="N27" s="42">
        <v>776376</v>
      </c>
      <c r="O27" s="42">
        <v>9394501</v>
      </c>
    </row>
    <row r="28" spans="1:15" x14ac:dyDescent="0.45">
      <c r="A28" s="6" t="s">
        <v>3</v>
      </c>
      <c r="B28" s="7">
        <v>10</v>
      </c>
      <c r="C28" s="7">
        <v>100</v>
      </c>
      <c r="D28" s="7">
        <v>1000</v>
      </c>
      <c r="E28" s="7">
        <v>10000</v>
      </c>
      <c r="F28" s="7">
        <v>100000</v>
      </c>
      <c r="G28" s="7">
        <v>1000000</v>
      </c>
      <c r="I28" s="26" t="s">
        <v>2</v>
      </c>
      <c r="J28" s="42">
        <v>25</v>
      </c>
      <c r="K28" s="42">
        <v>544</v>
      </c>
      <c r="L28" s="42">
        <v>8734</v>
      </c>
      <c r="M28" s="42">
        <v>120429</v>
      </c>
      <c r="N28" s="42">
        <v>1536275</v>
      </c>
      <c r="O28" s="42">
        <v>18674613</v>
      </c>
    </row>
    <row r="29" spans="1:15" x14ac:dyDescent="0.45">
      <c r="A29" s="6" t="s">
        <v>0</v>
      </c>
      <c r="B29" s="7">
        <v>2</v>
      </c>
      <c r="C29" s="7">
        <v>0</v>
      </c>
      <c r="D29" s="7">
        <v>4</v>
      </c>
      <c r="E29" s="7">
        <v>18</v>
      </c>
      <c r="F29" s="7">
        <v>85</v>
      </c>
      <c r="G29" s="7">
        <v>839</v>
      </c>
    </row>
    <row r="30" spans="1:15" x14ac:dyDescent="0.45">
      <c r="A30" s="6" t="s">
        <v>1</v>
      </c>
      <c r="B30" s="7">
        <v>13</v>
      </c>
      <c r="C30" s="7">
        <v>289</v>
      </c>
      <c r="D30" s="7">
        <v>4392</v>
      </c>
      <c r="E30" s="7">
        <v>61230</v>
      </c>
      <c r="F30" s="7">
        <v>777102</v>
      </c>
      <c r="G30" s="7">
        <v>9396799</v>
      </c>
    </row>
    <row r="31" spans="1:15" x14ac:dyDescent="0.45">
      <c r="A31" s="6" t="s">
        <v>2</v>
      </c>
      <c r="B31" s="57">
        <v>22</v>
      </c>
      <c r="C31" s="57">
        <v>550</v>
      </c>
      <c r="D31" s="57">
        <v>8697</v>
      </c>
      <c r="E31" s="57">
        <v>120456</v>
      </c>
      <c r="F31" s="7">
        <v>1536570</v>
      </c>
      <c r="G31" s="7">
        <v>18675025</v>
      </c>
    </row>
    <row r="32" spans="1:15" x14ac:dyDescent="0.45">
      <c r="A32" s="21"/>
      <c r="B32" s="22"/>
      <c r="C32" s="21"/>
      <c r="D32" s="21"/>
      <c r="E32" s="21"/>
      <c r="F32" s="21"/>
      <c r="G32" s="60"/>
    </row>
    <row r="33" spans="1:15" x14ac:dyDescent="0.45">
      <c r="A33" s="6" t="s">
        <v>12</v>
      </c>
      <c r="B33" s="6"/>
      <c r="C33" s="6"/>
      <c r="D33" s="6"/>
      <c r="E33" s="6"/>
      <c r="F33" s="6"/>
      <c r="G33" s="7"/>
    </row>
    <row r="34" spans="1:15" x14ac:dyDescent="0.45">
      <c r="A34" s="6" t="s">
        <v>3</v>
      </c>
      <c r="B34" s="7">
        <v>10</v>
      </c>
      <c r="C34" s="7">
        <v>100</v>
      </c>
      <c r="D34" s="7">
        <v>1000</v>
      </c>
      <c r="E34" s="7">
        <v>10000</v>
      </c>
      <c r="F34" s="7">
        <v>100000</v>
      </c>
      <c r="G34" s="7">
        <v>1000000</v>
      </c>
    </row>
    <row r="35" spans="1:15" x14ac:dyDescent="0.45">
      <c r="A35" s="6" t="s">
        <v>0</v>
      </c>
      <c r="B35" s="7">
        <v>2</v>
      </c>
      <c r="C35" s="7">
        <v>0</v>
      </c>
      <c r="D35" s="7">
        <v>7</v>
      </c>
      <c r="E35" s="7">
        <v>27</v>
      </c>
      <c r="F35" s="7">
        <v>88</v>
      </c>
      <c r="G35" s="7">
        <v>706</v>
      </c>
    </row>
    <row r="36" spans="1:15" x14ac:dyDescent="0.45">
      <c r="A36" s="6" t="s">
        <v>1</v>
      </c>
      <c r="B36" s="7">
        <v>13</v>
      </c>
      <c r="C36" s="7">
        <v>273</v>
      </c>
      <c r="D36" s="7">
        <v>4336</v>
      </c>
      <c r="E36" s="7">
        <v>61243</v>
      </c>
      <c r="F36" s="7">
        <v>776110</v>
      </c>
      <c r="G36" s="7">
        <v>9394427</v>
      </c>
    </row>
    <row r="37" spans="1:15" x14ac:dyDescent="0.45">
      <c r="A37" s="6" t="s">
        <v>2</v>
      </c>
      <c r="B37" s="57">
        <v>24</v>
      </c>
      <c r="C37" s="57">
        <v>535</v>
      </c>
      <c r="D37" s="57">
        <v>8688</v>
      </c>
      <c r="E37" s="57">
        <v>120324</v>
      </c>
      <c r="F37" s="7">
        <v>1536364</v>
      </c>
      <c r="G37" s="7">
        <v>18674380</v>
      </c>
    </row>
    <row r="38" spans="1:15" x14ac:dyDescent="0.45">
      <c r="A38" s="21"/>
      <c r="B38" s="22"/>
      <c r="C38" s="21"/>
      <c r="D38" s="21"/>
      <c r="E38" s="21"/>
      <c r="F38" s="21"/>
      <c r="G38" s="60"/>
    </row>
    <row r="39" spans="1:15" x14ac:dyDescent="0.45">
      <c r="A39" s="6" t="s">
        <v>13</v>
      </c>
      <c r="B39" s="6"/>
      <c r="C39" s="6"/>
      <c r="D39" s="6"/>
      <c r="E39" s="6"/>
      <c r="F39" s="6"/>
      <c r="G39" s="7"/>
    </row>
    <row r="40" spans="1:15" x14ac:dyDescent="0.45">
      <c r="A40" s="6" t="s">
        <v>3</v>
      </c>
      <c r="B40" s="7">
        <v>10</v>
      </c>
      <c r="C40" s="7">
        <v>100</v>
      </c>
      <c r="D40" s="7">
        <v>1000</v>
      </c>
      <c r="E40" s="7">
        <v>10000</v>
      </c>
      <c r="F40" s="7">
        <v>100000</v>
      </c>
      <c r="G40" s="7">
        <v>1000000</v>
      </c>
    </row>
    <row r="41" spans="1:15" x14ac:dyDescent="0.45">
      <c r="A41" s="6" t="s">
        <v>0</v>
      </c>
      <c r="B41" s="7">
        <v>1</v>
      </c>
      <c r="C41" s="7">
        <v>0</v>
      </c>
      <c r="D41" s="7">
        <v>4</v>
      </c>
      <c r="E41" s="7">
        <v>15</v>
      </c>
      <c r="F41" s="7">
        <v>93</v>
      </c>
      <c r="G41" s="7">
        <v>906</v>
      </c>
    </row>
    <row r="42" spans="1:15" x14ac:dyDescent="0.45">
      <c r="A42" s="6" t="s">
        <v>1</v>
      </c>
      <c r="B42" s="7">
        <v>16</v>
      </c>
      <c r="C42" s="7">
        <v>283</v>
      </c>
      <c r="D42" s="7">
        <v>4381</v>
      </c>
      <c r="E42" s="7">
        <v>61225</v>
      </c>
      <c r="F42" s="7">
        <v>776621</v>
      </c>
      <c r="G42" s="7">
        <v>9395429</v>
      </c>
    </row>
    <row r="43" spans="1:15" x14ac:dyDescent="0.45">
      <c r="A43" s="6" t="s">
        <v>2</v>
      </c>
      <c r="B43" s="57">
        <v>24</v>
      </c>
      <c r="C43" s="57">
        <v>540</v>
      </c>
      <c r="D43" s="57">
        <v>8701</v>
      </c>
      <c r="E43" s="57">
        <v>120489</v>
      </c>
      <c r="F43" s="7">
        <v>1536255</v>
      </c>
      <c r="G43" s="7">
        <v>18674404</v>
      </c>
    </row>
    <row r="44" spans="1:15" x14ac:dyDescent="0.45">
      <c r="A44" s="21"/>
      <c r="B44" s="22"/>
      <c r="C44" s="21"/>
      <c r="D44" s="21"/>
      <c r="E44" s="21"/>
      <c r="F44" s="21"/>
      <c r="G44" s="60"/>
    </row>
    <row r="45" spans="1:15" x14ac:dyDescent="0.45">
      <c r="A45" s="6" t="s">
        <v>14</v>
      </c>
      <c r="B45" s="6"/>
      <c r="C45" s="6"/>
      <c r="D45" s="6"/>
      <c r="E45" s="6"/>
      <c r="F45" s="6"/>
      <c r="G45" s="7"/>
    </row>
    <row r="46" spans="1:15" x14ac:dyDescent="0.45">
      <c r="A46" s="6" t="s">
        <v>3</v>
      </c>
      <c r="B46" s="7">
        <v>10</v>
      </c>
      <c r="C46" s="7">
        <v>100</v>
      </c>
      <c r="D46" s="7">
        <v>1000</v>
      </c>
      <c r="E46" s="7">
        <v>10000</v>
      </c>
      <c r="F46" s="7">
        <v>100000</v>
      </c>
      <c r="G46" s="7">
        <v>1000000</v>
      </c>
    </row>
    <row r="47" spans="1:15" x14ac:dyDescent="0.45">
      <c r="A47" s="6" t="s">
        <v>0</v>
      </c>
      <c r="B47" s="7">
        <v>1</v>
      </c>
      <c r="C47" s="7">
        <v>1</v>
      </c>
      <c r="D47" s="7">
        <v>5</v>
      </c>
      <c r="E47" s="7">
        <v>54</v>
      </c>
      <c r="F47" s="7">
        <v>234</v>
      </c>
      <c r="G47" s="7">
        <v>966</v>
      </c>
      <c r="I47" s="26" t="s">
        <v>26</v>
      </c>
      <c r="J47" s="26"/>
      <c r="K47" s="26"/>
      <c r="L47" s="26"/>
      <c r="M47" s="26"/>
      <c r="N47" s="26"/>
      <c r="O47" s="26"/>
    </row>
    <row r="48" spans="1:15" x14ac:dyDescent="0.45">
      <c r="A48" s="6" t="s">
        <v>1</v>
      </c>
      <c r="B48" s="7">
        <v>11</v>
      </c>
      <c r="C48" s="7">
        <v>272</v>
      </c>
      <c r="D48" s="7">
        <v>4356</v>
      </c>
      <c r="E48" s="7">
        <v>61452</v>
      </c>
      <c r="F48" s="7">
        <v>776171</v>
      </c>
      <c r="G48" s="7">
        <v>9395948</v>
      </c>
      <c r="I48" s="26" t="s">
        <v>3</v>
      </c>
      <c r="J48" s="42">
        <v>10</v>
      </c>
      <c r="K48" s="42">
        <v>100</v>
      </c>
      <c r="L48" s="42">
        <v>1000</v>
      </c>
      <c r="M48" s="42">
        <v>10000</v>
      </c>
      <c r="N48" s="42">
        <v>100000</v>
      </c>
      <c r="O48" s="42">
        <v>1000000</v>
      </c>
    </row>
    <row r="49" spans="1:15" x14ac:dyDescent="0.45">
      <c r="A49" s="6" t="s">
        <v>2</v>
      </c>
      <c r="B49" s="57">
        <v>23</v>
      </c>
      <c r="C49" s="57">
        <v>543</v>
      </c>
      <c r="D49" s="57">
        <v>8700</v>
      </c>
      <c r="E49" s="57">
        <v>120496</v>
      </c>
      <c r="F49" s="7">
        <v>1536222</v>
      </c>
      <c r="G49" s="7">
        <v>18674678</v>
      </c>
      <c r="I49" s="26" t="s">
        <v>0</v>
      </c>
      <c r="J49" s="42">
        <v>0</v>
      </c>
      <c r="K49" s="42">
        <v>1</v>
      </c>
      <c r="L49" s="42">
        <v>4</v>
      </c>
      <c r="M49" s="42">
        <v>12</v>
      </c>
      <c r="N49" s="42">
        <v>102</v>
      </c>
      <c r="O49" s="42">
        <v>694</v>
      </c>
    </row>
    <row r="50" spans="1:15" x14ac:dyDescent="0.45">
      <c r="A50" s="21"/>
      <c r="B50" s="22"/>
      <c r="C50" s="21"/>
      <c r="D50" s="21"/>
      <c r="E50" s="21"/>
      <c r="F50" s="21"/>
      <c r="G50" s="60"/>
      <c r="I50" s="26" t="s">
        <v>1</v>
      </c>
      <c r="J50" s="42">
        <v>10</v>
      </c>
      <c r="K50" s="42">
        <v>282</v>
      </c>
      <c r="L50" s="42">
        <v>4373</v>
      </c>
      <c r="M50" s="42">
        <v>61415</v>
      </c>
      <c r="N50" s="42">
        <v>776408</v>
      </c>
      <c r="O50" s="42">
        <v>9394473</v>
      </c>
    </row>
    <row r="51" spans="1:15" x14ac:dyDescent="0.45">
      <c r="A51" s="6" t="s">
        <v>15</v>
      </c>
      <c r="B51" s="6"/>
      <c r="C51" s="6"/>
      <c r="D51" s="6"/>
      <c r="E51" s="6"/>
      <c r="F51" s="6"/>
      <c r="G51" s="7"/>
      <c r="I51" s="26" t="s">
        <v>2</v>
      </c>
      <c r="J51" s="42">
        <v>22</v>
      </c>
      <c r="K51" s="42">
        <v>543</v>
      </c>
      <c r="L51" s="42">
        <v>8715</v>
      </c>
      <c r="M51" s="42">
        <v>120528</v>
      </c>
      <c r="N51" s="42">
        <v>1536268</v>
      </c>
      <c r="O51" s="42">
        <v>18674442</v>
      </c>
    </row>
    <row r="52" spans="1:15" x14ac:dyDescent="0.45">
      <c r="A52" s="6" t="s">
        <v>3</v>
      </c>
      <c r="B52" s="7">
        <v>10</v>
      </c>
      <c r="C52" s="7">
        <v>100</v>
      </c>
      <c r="D52" s="7">
        <v>1000</v>
      </c>
      <c r="E52" s="7">
        <v>10000</v>
      </c>
      <c r="F52" s="7">
        <v>100000</v>
      </c>
      <c r="G52" s="7">
        <v>1000000</v>
      </c>
    </row>
    <row r="53" spans="1:15" x14ac:dyDescent="0.45">
      <c r="A53" s="6" t="s">
        <v>0</v>
      </c>
      <c r="B53" s="7">
        <v>0</v>
      </c>
      <c r="C53" s="7">
        <v>1</v>
      </c>
      <c r="D53" s="7">
        <v>4</v>
      </c>
      <c r="E53" s="7">
        <v>12</v>
      </c>
      <c r="F53" s="7">
        <v>102</v>
      </c>
      <c r="G53" s="7">
        <v>694</v>
      </c>
    </row>
    <row r="54" spans="1:15" x14ac:dyDescent="0.45">
      <c r="A54" s="6" t="s">
        <v>1</v>
      </c>
      <c r="B54" s="7">
        <v>10</v>
      </c>
      <c r="C54" s="7">
        <v>282</v>
      </c>
      <c r="D54" s="7">
        <v>4373</v>
      </c>
      <c r="E54" s="7">
        <v>61415</v>
      </c>
      <c r="F54" s="7">
        <v>776408</v>
      </c>
      <c r="G54" s="7">
        <v>9394473</v>
      </c>
    </row>
    <row r="55" spans="1:15" x14ac:dyDescent="0.45">
      <c r="A55" s="6" t="s">
        <v>2</v>
      </c>
      <c r="B55" s="57">
        <v>22</v>
      </c>
      <c r="C55" s="57">
        <v>543</v>
      </c>
      <c r="D55" s="57">
        <v>8715</v>
      </c>
      <c r="E55" s="57">
        <v>120528</v>
      </c>
      <c r="F55" s="7">
        <v>1536268</v>
      </c>
      <c r="G55" s="7">
        <v>18674442</v>
      </c>
    </row>
    <row r="56" spans="1:15" x14ac:dyDescent="0.45">
      <c r="A56" s="21"/>
      <c r="B56" s="22"/>
      <c r="C56" s="21"/>
      <c r="D56" s="21"/>
      <c r="E56" s="21"/>
      <c r="F56" s="21"/>
      <c r="G56" s="60"/>
    </row>
    <row r="57" spans="1:15" x14ac:dyDescent="0.45">
      <c r="A57" s="6" t="s">
        <v>16</v>
      </c>
      <c r="B57" s="6"/>
      <c r="C57" s="6"/>
      <c r="D57" s="6"/>
      <c r="E57" s="6"/>
      <c r="F57" s="23"/>
      <c r="G57" s="7"/>
    </row>
    <row r="58" spans="1:15" x14ac:dyDescent="0.45">
      <c r="A58" s="6" t="s">
        <v>3</v>
      </c>
      <c r="B58" s="7">
        <v>10</v>
      </c>
      <c r="C58" s="7">
        <v>100</v>
      </c>
      <c r="D58" s="7">
        <v>1000</v>
      </c>
      <c r="E58" s="7">
        <v>10000</v>
      </c>
      <c r="F58" s="62">
        <v>100000</v>
      </c>
      <c r="G58" s="7">
        <v>1000000</v>
      </c>
    </row>
    <row r="59" spans="1:15" x14ac:dyDescent="0.45">
      <c r="A59" s="6" t="s">
        <v>0</v>
      </c>
      <c r="B59" s="7">
        <v>2</v>
      </c>
      <c r="C59" s="7">
        <v>0</v>
      </c>
      <c r="D59" s="7">
        <v>4</v>
      </c>
      <c r="E59" s="7">
        <v>14</v>
      </c>
      <c r="F59" s="7">
        <v>99</v>
      </c>
      <c r="G59" s="7">
        <v>601</v>
      </c>
    </row>
    <row r="60" spans="1:15" x14ac:dyDescent="0.45">
      <c r="A60" s="6" t="s">
        <v>1</v>
      </c>
      <c r="B60" s="7">
        <v>11</v>
      </c>
      <c r="C60" s="7">
        <v>287</v>
      </c>
      <c r="D60" s="7">
        <v>4432</v>
      </c>
      <c r="E60" s="7">
        <v>61497</v>
      </c>
      <c r="F60" s="7">
        <v>776354</v>
      </c>
      <c r="G60" s="7">
        <v>9393333</v>
      </c>
    </row>
    <row r="61" spans="1:15" x14ac:dyDescent="0.45">
      <c r="A61" s="6" t="s">
        <v>2</v>
      </c>
      <c r="B61" s="57">
        <v>22</v>
      </c>
      <c r="C61" s="57">
        <v>538</v>
      </c>
      <c r="D61" s="57">
        <v>8708</v>
      </c>
      <c r="E61" s="57">
        <v>120534</v>
      </c>
      <c r="F61" s="7">
        <v>1536071</v>
      </c>
      <c r="G61" s="7">
        <v>18673194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8D1F-1643-4AD7-B5F2-B9962E0AC47D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18" t="s">
        <v>19</v>
      </c>
      <c r="B1" s="19"/>
      <c r="C1" s="15"/>
      <c r="D1" s="15"/>
      <c r="E1" s="15"/>
      <c r="F1" s="15"/>
      <c r="G1" s="15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17"/>
      <c r="B2" s="16"/>
      <c r="C2" s="16"/>
      <c r="D2" s="16"/>
      <c r="E2" s="16"/>
      <c r="F2" s="16"/>
      <c r="G2" s="15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14" t="s">
        <v>7</v>
      </c>
      <c r="B3" s="4"/>
      <c r="C3" s="14"/>
      <c r="D3" s="14"/>
      <c r="E3" s="14"/>
      <c r="F3" s="14"/>
      <c r="G3" s="4"/>
      <c r="I3" s="26" t="s">
        <v>0</v>
      </c>
      <c r="J3" s="42">
        <f>AVERAGE(QuickSort!B5,QuickSort!B11,QuickSort!B17,QuickSort!B23,QuickSort!B29,QuickSort!B35,QuickSort!B41,QuickSort!B47,QuickSort!B53,QuickSort!B59)</f>
        <v>0</v>
      </c>
      <c r="K3" s="42">
        <f>AVERAGE(QuickSort!C5,QuickSort!C11,QuickSort!C17,QuickSort!C23,QuickSort!C29,QuickSort!C35,QuickSort!C41,QuickSort!C47,QuickSort!C53,QuickSort!C59)</f>
        <v>0.3</v>
      </c>
      <c r="L3" s="42">
        <f>AVERAGE(QuickSort!D5,QuickSort!D11,QuickSort!D17,QuickSort!D23,QuickSort!D29,QuickSort!D35,QuickSort!D41,QuickSort!D47,QuickSort!D53,QuickSort!D59)</f>
        <v>2.2999999999999998</v>
      </c>
      <c r="M3" s="42">
        <f>AVERAGE(QuickSort!E5,QuickSort!E11,QuickSort!E17,QuickSort!E23,QuickSort!E29,QuickSort!E35,QuickSort!E41,QuickSort!E47,QuickSort!E53,QuickSort!E59)</f>
        <v>7.1</v>
      </c>
      <c r="N3" s="42">
        <f>AVERAGE(QuickSort!F5,QuickSort!F11,QuickSort!F17,QuickSort!F23,QuickSort!F29,QuickSort!F35,QuickSort!F41,QuickSort!F47,QuickSort!F53,QuickSort!F59)</f>
        <v>32.5</v>
      </c>
      <c r="O3" s="42">
        <f>AVERAGE(QuickSort!G5,QuickSort!G11,QuickSort!G17,QuickSort!G23,QuickSort!G29,QuickSort!G35,QuickSort!G41,QuickSort!G47,QuickSort!G53,QuickSort!G59)</f>
        <v>199</v>
      </c>
    </row>
    <row r="4" spans="1:15" x14ac:dyDescent="0.45">
      <c r="A4" s="4" t="s">
        <v>3</v>
      </c>
      <c r="B4" s="5">
        <v>10</v>
      </c>
      <c r="C4" s="5">
        <v>100</v>
      </c>
      <c r="D4" s="5">
        <v>1000</v>
      </c>
      <c r="E4" s="5">
        <v>10000</v>
      </c>
      <c r="F4" s="5">
        <v>100000</v>
      </c>
      <c r="G4" s="5">
        <v>1000000</v>
      </c>
      <c r="I4" s="26" t="s">
        <v>1</v>
      </c>
      <c r="J4" s="42">
        <f>AVERAGE(QuickSort!B6,QuickSort!B12,QuickSort!B18,QuickSort!B24,QuickSort!B30,QuickSort!B36,QuickSort!B42,QuickSort!B48,QuickSort!B54,QuickSort!B60)</f>
        <v>18.2</v>
      </c>
      <c r="K4" s="42">
        <f>AVERAGE(QuickSort!C6,QuickSort!C12,QuickSort!C18,QuickSort!C24,QuickSort!C30,QuickSort!C36,QuickSort!C42,QuickSort!C48,QuickSort!C54,QuickSort!C60)</f>
        <v>403.3</v>
      </c>
      <c r="L4" s="42">
        <f>AVERAGE(QuickSort!D6,QuickSort!D12,QuickSort!D18,QuickSort!D24,QuickSort!D30,QuickSort!D36,QuickSort!D42,QuickSort!D48,QuickSort!D54,QuickSort!D60)</f>
        <v>6169</v>
      </c>
      <c r="M4" s="42">
        <f>AVERAGE(QuickSort!E6,QuickSort!E12,QuickSort!E18,QuickSort!E24,QuickSort!E30,QuickSort!E36,QuickSort!E42,QuickSort!E48,QuickSort!E54,QuickSort!E60)</f>
        <v>86020.4</v>
      </c>
      <c r="N4" s="42">
        <f>AVERAGE(QuickSort!F6,QuickSort!F12,QuickSort!F18,QuickSort!F24,QuickSort!F30,QuickSort!F36,QuickSort!F42,QuickSort!F48,QuickSort!F54,QuickSort!F60)</f>
        <v>1108697.3</v>
      </c>
      <c r="O4" s="42">
        <f>AVERAGE(QuickSort!G6,QuickSort!G12,QuickSort!G18,QuickSort!G24,QuickSort!G30,QuickSort!G36,QuickSort!G42,QuickSort!G48,QuickSort!G54,QuickSort!G60)</f>
        <v>13489906.4</v>
      </c>
    </row>
    <row r="5" spans="1:15" x14ac:dyDescent="0.45">
      <c r="A5" s="4" t="s">
        <v>0</v>
      </c>
      <c r="B5" s="4">
        <v>0</v>
      </c>
      <c r="C5" s="4">
        <v>0</v>
      </c>
      <c r="D5" s="4">
        <v>2</v>
      </c>
      <c r="E5" s="4">
        <v>6</v>
      </c>
      <c r="F5" s="4">
        <v>17</v>
      </c>
      <c r="G5" s="4">
        <v>179</v>
      </c>
      <c r="I5" s="26" t="s">
        <v>2</v>
      </c>
      <c r="J5" s="42">
        <f>AVERAGE(QuickSort!D7,QuickSort!B13,QuickSort!B19,QuickSort!B25,QuickSort!B31,QuickSort!B37,QuickSort!B43,QuickSort!B49,QuickSort!B55,QuickSort!B61)</f>
        <v>1171.0999999999999</v>
      </c>
      <c r="K5" s="42">
        <f>AVERAGE(QuickSort!E7,QuickSort!C13,QuickSort!C19,QuickSort!C25,QuickSort!C31,QuickSort!C37,QuickSort!C43,QuickSort!C49,QuickSort!C55,QuickSort!C61)</f>
        <v>17243.5</v>
      </c>
      <c r="L5" s="42">
        <f>AVERAGE(QuickSort!F7,QuickSort!D13,QuickSort!D19,QuickSort!D25,QuickSort!D31,QuickSort!D37,QuickSort!D43,QuickSort!D49,QuickSort!D55,QuickSort!D61)</f>
        <v>217247.5</v>
      </c>
      <c r="M5" s="42">
        <f>AVERAGE(QuickSort!G7,QuickSort!E13,QuickSort!E19,QuickSort!E25,QuickSort!E31,QuickSort!E37,QuickSort!E43,QuickSort!E49,QuickSort!E55,QuickSort!E61)</f>
        <v>2856761.2</v>
      </c>
      <c r="N5" s="42">
        <f>AVERAGE(F7,QuickSort!F13,QuickSort!F19,QuickSort!F25,QuickSort!F31,QuickSort!F37,QuickSort!F43,QuickSort!F49,QuickSort!F55,QuickSort!F61)</f>
        <v>2144724.4</v>
      </c>
      <c r="O5" s="42">
        <f>AVERAGE(HeapSort!A7,QuickSort!G13,QuickSort!G19,QuickSort!G25,QuickSort!G31,QuickSort!G37,QuickSort!G43,QuickSort!G49,QuickSort!G55,QuickSort!G61)</f>
        <v>25978646.111111112</v>
      </c>
    </row>
    <row r="6" spans="1:15" x14ac:dyDescent="0.45">
      <c r="A6" s="4" t="s">
        <v>1</v>
      </c>
      <c r="B6" s="4">
        <v>15</v>
      </c>
      <c r="C6" s="4">
        <v>484</v>
      </c>
      <c r="D6" s="4">
        <v>6120</v>
      </c>
      <c r="E6" s="4">
        <v>79820</v>
      </c>
      <c r="F6" s="4">
        <v>1004604</v>
      </c>
      <c r="G6" s="4">
        <v>13965627</v>
      </c>
    </row>
    <row r="7" spans="1:15" x14ac:dyDescent="0.45">
      <c r="A7" s="13" t="s">
        <v>2</v>
      </c>
      <c r="B7" s="4">
        <v>35</v>
      </c>
      <c r="C7" s="4">
        <v>729</v>
      </c>
      <c r="D7" s="4">
        <v>11444</v>
      </c>
      <c r="E7" s="4">
        <v>166126</v>
      </c>
      <c r="F7" s="4">
        <v>2067720</v>
      </c>
      <c r="G7" s="4">
        <v>27103704</v>
      </c>
    </row>
    <row r="8" spans="1:15" x14ac:dyDescent="0.45">
      <c r="A8" s="17"/>
      <c r="B8" s="20"/>
      <c r="C8" s="17"/>
      <c r="D8" s="17"/>
      <c r="E8" s="17"/>
      <c r="F8" s="17"/>
      <c r="G8" s="15"/>
    </row>
    <row r="9" spans="1:15" x14ac:dyDescent="0.45">
      <c r="A9" s="14" t="s">
        <v>8</v>
      </c>
      <c r="B9" s="14"/>
      <c r="C9" s="14"/>
      <c r="D9" s="14"/>
      <c r="E9" s="14"/>
      <c r="F9" s="14"/>
      <c r="G9" s="4"/>
    </row>
    <row r="10" spans="1:15" x14ac:dyDescent="0.45">
      <c r="A10" s="4" t="s">
        <v>3</v>
      </c>
      <c r="B10" s="5">
        <v>10</v>
      </c>
      <c r="C10" s="5">
        <v>100</v>
      </c>
      <c r="D10" s="5">
        <v>1000</v>
      </c>
      <c r="E10" s="5">
        <v>10000</v>
      </c>
      <c r="F10" s="5">
        <v>100000</v>
      </c>
      <c r="G10" s="5">
        <v>1000000</v>
      </c>
    </row>
    <row r="11" spans="1:15" x14ac:dyDescent="0.45">
      <c r="A11" s="4" t="s">
        <v>0</v>
      </c>
      <c r="B11" s="4">
        <v>0</v>
      </c>
      <c r="C11" s="4">
        <v>0</v>
      </c>
      <c r="D11" s="4">
        <v>5</v>
      </c>
      <c r="E11" s="4">
        <v>5</v>
      </c>
      <c r="F11" s="4">
        <v>23</v>
      </c>
      <c r="G11" s="4">
        <v>316</v>
      </c>
    </row>
    <row r="12" spans="1:15" x14ac:dyDescent="0.45">
      <c r="A12" s="4" t="s">
        <v>1</v>
      </c>
      <c r="B12" s="4">
        <v>24</v>
      </c>
      <c r="C12" s="4">
        <v>391</v>
      </c>
      <c r="D12" s="4">
        <v>6170</v>
      </c>
      <c r="E12" s="4">
        <v>84157</v>
      </c>
      <c r="F12" s="4">
        <v>1041140</v>
      </c>
      <c r="G12" s="4">
        <v>12845555</v>
      </c>
    </row>
    <row r="13" spans="1:15" x14ac:dyDescent="0.45">
      <c r="A13" s="4" t="s">
        <v>2</v>
      </c>
      <c r="B13" s="4">
        <v>32</v>
      </c>
      <c r="C13" s="4">
        <v>711</v>
      </c>
      <c r="D13" s="4">
        <v>12182</v>
      </c>
      <c r="E13" s="4">
        <v>164242</v>
      </c>
      <c r="F13" s="4">
        <v>2126401</v>
      </c>
      <c r="G13" s="4">
        <v>25543141</v>
      </c>
    </row>
    <row r="14" spans="1:15" x14ac:dyDescent="0.45">
      <c r="A14" s="17"/>
      <c r="B14" s="20"/>
      <c r="C14" s="17"/>
      <c r="D14" s="17"/>
      <c r="E14" s="17"/>
      <c r="F14" s="17"/>
      <c r="G14" s="15"/>
    </row>
    <row r="15" spans="1:15" x14ac:dyDescent="0.45">
      <c r="A15" s="4" t="s">
        <v>9</v>
      </c>
      <c r="B15" s="4"/>
      <c r="C15" s="4"/>
      <c r="D15" s="4"/>
      <c r="E15" s="4"/>
      <c r="F15" s="4"/>
      <c r="G15" s="4"/>
    </row>
    <row r="16" spans="1:15" x14ac:dyDescent="0.45">
      <c r="A16" s="4" t="s">
        <v>3</v>
      </c>
      <c r="B16" s="5">
        <v>10</v>
      </c>
      <c r="C16" s="5">
        <v>100</v>
      </c>
      <c r="D16" s="5">
        <v>1000</v>
      </c>
      <c r="E16" s="5">
        <v>10000</v>
      </c>
      <c r="F16" s="5">
        <v>100000</v>
      </c>
      <c r="G16" s="5">
        <v>1000000</v>
      </c>
    </row>
    <row r="17" spans="1:15" x14ac:dyDescent="0.45">
      <c r="A17" s="4" t="s">
        <v>0</v>
      </c>
      <c r="B17" s="4">
        <v>0</v>
      </c>
      <c r="C17" s="4">
        <v>0</v>
      </c>
      <c r="D17" s="4">
        <v>2</v>
      </c>
      <c r="E17" s="4">
        <v>7</v>
      </c>
      <c r="F17" s="4">
        <v>53</v>
      </c>
      <c r="G17" s="4">
        <v>217</v>
      </c>
    </row>
    <row r="18" spans="1:15" x14ac:dyDescent="0.45">
      <c r="A18" s="4" t="s">
        <v>1</v>
      </c>
      <c r="B18" s="4">
        <v>16</v>
      </c>
      <c r="C18" s="4">
        <v>395</v>
      </c>
      <c r="D18" s="4">
        <v>6239</v>
      </c>
      <c r="E18" s="4">
        <v>97067</v>
      </c>
      <c r="F18" s="4">
        <v>1177214</v>
      </c>
      <c r="G18" s="4">
        <v>14696689</v>
      </c>
    </row>
    <row r="19" spans="1:15" x14ac:dyDescent="0.45">
      <c r="A19" s="4" t="s">
        <v>2</v>
      </c>
      <c r="B19" s="4">
        <v>27</v>
      </c>
      <c r="C19" s="4">
        <v>714</v>
      </c>
      <c r="D19" s="4">
        <v>12289</v>
      </c>
      <c r="E19" s="4">
        <v>168076</v>
      </c>
      <c r="F19" s="4">
        <v>2381653</v>
      </c>
      <c r="G19" s="4">
        <v>27353376</v>
      </c>
    </row>
    <row r="20" spans="1:15" x14ac:dyDescent="0.45">
      <c r="A20" s="17"/>
      <c r="B20" s="20"/>
      <c r="C20" s="17"/>
      <c r="D20" s="17"/>
      <c r="E20" s="17"/>
      <c r="F20" s="17"/>
      <c r="G20" s="15"/>
    </row>
    <row r="21" spans="1:15" x14ac:dyDescent="0.45">
      <c r="A21" s="4" t="s">
        <v>10</v>
      </c>
      <c r="B21" s="4"/>
      <c r="C21" s="4"/>
      <c r="D21" s="4"/>
      <c r="E21" s="4"/>
      <c r="F21" s="4"/>
      <c r="G21" s="4"/>
    </row>
    <row r="22" spans="1:15" x14ac:dyDescent="0.45">
      <c r="A22" s="4" t="s">
        <v>3</v>
      </c>
      <c r="B22" s="5">
        <v>10</v>
      </c>
      <c r="C22" s="5">
        <v>100</v>
      </c>
      <c r="D22" s="5">
        <v>1000</v>
      </c>
      <c r="E22" s="5">
        <v>10000</v>
      </c>
      <c r="F22" s="5">
        <v>100000</v>
      </c>
      <c r="G22" s="5">
        <v>1000000</v>
      </c>
    </row>
    <row r="23" spans="1:15" x14ac:dyDescent="0.45">
      <c r="A23" s="4" t="s">
        <v>0</v>
      </c>
      <c r="B23" s="4">
        <v>0</v>
      </c>
      <c r="C23" s="4">
        <v>1</v>
      </c>
      <c r="D23" s="4">
        <v>2</v>
      </c>
      <c r="E23" s="4">
        <v>10</v>
      </c>
      <c r="F23" s="4">
        <v>17</v>
      </c>
      <c r="G23" s="4">
        <v>177</v>
      </c>
    </row>
    <row r="24" spans="1:15" x14ac:dyDescent="0.45">
      <c r="A24" s="4" t="s">
        <v>1</v>
      </c>
      <c r="B24" s="4">
        <v>19</v>
      </c>
      <c r="C24" s="4">
        <v>342</v>
      </c>
      <c r="D24" s="4">
        <v>7663</v>
      </c>
      <c r="E24" s="4">
        <v>81216</v>
      </c>
      <c r="F24" s="4">
        <v>1068880</v>
      </c>
      <c r="G24" s="4">
        <v>12938235</v>
      </c>
      <c r="I24" s="26" t="s">
        <v>22</v>
      </c>
      <c r="J24" s="26"/>
      <c r="K24" s="26"/>
      <c r="L24" s="26"/>
      <c r="M24" s="26"/>
      <c r="N24" s="26"/>
      <c r="O24" s="26"/>
    </row>
    <row r="25" spans="1:15" x14ac:dyDescent="0.45">
      <c r="A25" s="4" t="s">
        <v>2</v>
      </c>
      <c r="B25" s="4">
        <v>29</v>
      </c>
      <c r="C25" s="4">
        <v>743</v>
      </c>
      <c r="D25" s="4">
        <v>12972</v>
      </c>
      <c r="E25" s="4">
        <v>155290</v>
      </c>
      <c r="F25" s="4">
        <v>2055560</v>
      </c>
      <c r="G25" s="4">
        <v>25669084</v>
      </c>
      <c r="I25" s="26" t="s">
        <v>3</v>
      </c>
      <c r="J25" s="42">
        <v>10</v>
      </c>
      <c r="K25" s="42">
        <v>100</v>
      </c>
      <c r="L25" s="42">
        <v>1000</v>
      </c>
      <c r="M25" s="42">
        <v>10000</v>
      </c>
      <c r="N25" s="42">
        <v>100000</v>
      </c>
      <c r="O25" s="42">
        <v>1000000</v>
      </c>
    </row>
    <row r="26" spans="1:15" x14ac:dyDescent="0.45">
      <c r="A26" s="17"/>
      <c r="B26" s="20"/>
      <c r="C26" s="17"/>
      <c r="D26" s="17"/>
      <c r="E26" s="17"/>
      <c r="F26" s="17"/>
      <c r="G26" s="15"/>
      <c r="I26" s="26" t="s">
        <v>0</v>
      </c>
      <c r="J26" s="26">
        <v>0</v>
      </c>
      <c r="K26" s="26">
        <v>0</v>
      </c>
      <c r="L26" s="26">
        <v>5</v>
      </c>
      <c r="M26" s="26">
        <v>5</v>
      </c>
      <c r="N26" s="26">
        <v>23</v>
      </c>
      <c r="O26" s="26">
        <v>316</v>
      </c>
    </row>
    <row r="27" spans="1:15" x14ac:dyDescent="0.45">
      <c r="A27" s="4" t="s">
        <v>11</v>
      </c>
      <c r="B27" s="4"/>
      <c r="C27" s="4"/>
      <c r="D27" s="4"/>
      <c r="E27" s="4"/>
      <c r="F27" s="4"/>
      <c r="G27" s="4"/>
      <c r="I27" s="26" t="s">
        <v>1</v>
      </c>
      <c r="J27" s="26">
        <v>24</v>
      </c>
      <c r="K27" s="26">
        <v>391</v>
      </c>
      <c r="L27" s="26">
        <v>6170</v>
      </c>
      <c r="M27" s="26">
        <v>84157</v>
      </c>
      <c r="N27" s="26">
        <v>1041140</v>
      </c>
      <c r="O27" s="26">
        <v>12845555</v>
      </c>
    </row>
    <row r="28" spans="1:15" x14ac:dyDescent="0.45">
      <c r="A28" s="4" t="s">
        <v>3</v>
      </c>
      <c r="B28" s="5">
        <v>10</v>
      </c>
      <c r="C28" s="5">
        <v>100</v>
      </c>
      <c r="D28" s="5">
        <v>1000</v>
      </c>
      <c r="E28" s="5">
        <v>10000</v>
      </c>
      <c r="F28" s="5">
        <v>100000</v>
      </c>
      <c r="G28" s="5">
        <v>1000000</v>
      </c>
      <c r="I28" s="26" t="s">
        <v>2</v>
      </c>
      <c r="J28" s="26">
        <v>32</v>
      </c>
      <c r="K28" s="26">
        <v>711</v>
      </c>
      <c r="L28" s="26">
        <v>12182</v>
      </c>
      <c r="M28" s="26">
        <v>164242</v>
      </c>
      <c r="N28" s="26">
        <v>2126401</v>
      </c>
      <c r="O28" s="26">
        <v>25543141</v>
      </c>
    </row>
    <row r="29" spans="1:15" x14ac:dyDescent="0.45">
      <c r="A29" s="4" t="s">
        <v>0</v>
      </c>
      <c r="B29" s="4">
        <v>0</v>
      </c>
      <c r="C29" s="4">
        <v>0</v>
      </c>
      <c r="D29" s="4">
        <v>5</v>
      </c>
      <c r="E29" s="4">
        <v>7</v>
      </c>
      <c r="F29" s="4">
        <v>58</v>
      </c>
      <c r="G29" s="4">
        <v>176</v>
      </c>
    </row>
    <row r="30" spans="1:15" x14ac:dyDescent="0.45">
      <c r="A30" s="4" t="s">
        <v>1</v>
      </c>
      <c r="B30" s="4">
        <v>14</v>
      </c>
      <c r="C30" s="4">
        <v>401</v>
      </c>
      <c r="D30" s="4">
        <v>5972</v>
      </c>
      <c r="E30" s="4">
        <v>95383</v>
      </c>
      <c r="F30" s="4">
        <v>1092903</v>
      </c>
      <c r="G30" s="4">
        <v>12962703</v>
      </c>
    </row>
    <row r="31" spans="1:15" x14ac:dyDescent="0.45">
      <c r="A31" s="4" t="s">
        <v>2</v>
      </c>
      <c r="B31" s="4">
        <v>27</v>
      </c>
      <c r="C31" s="4">
        <v>682</v>
      </c>
      <c r="D31" s="4">
        <v>10748</v>
      </c>
      <c r="E31" s="4">
        <v>163090</v>
      </c>
      <c r="F31" s="4">
        <v>2080880</v>
      </c>
      <c r="G31" s="4">
        <v>26579544</v>
      </c>
    </row>
    <row r="32" spans="1:15" x14ac:dyDescent="0.45">
      <c r="A32" s="17"/>
      <c r="B32" s="20"/>
      <c r="C32" s="17"/>
      <c r="D32" s="17"/>
      <c r="E32" s="17"/>
      <c r="F32" s="17"/>
      <c r="G32" s="15"/>
    </row>
    <row r="33" spans="1:15" x14ac:dyDescent="0.45">
      <c r="A33" s="4" t="s">
        <v>12</v>
      </c>
      <c r="B33" s="4"/>
      <c r="C33" s="4"/>
      <c r="D33" s="4"/>
      <c r="E33" s="4"/>
      <c r="F33" s="4"/>
      <c r="G33" s="4"/>
    </row>
    <row r="34" spans="1:15" x14ac:dyDescent="0.45">
      <c r="A34" s="4" t="s">
        <v>3</v>
      </c>
      <c r="B34" s="5">
        <v>10</v>
      </c>
      <c r="C34" s="5">
        <v>100</v>
      </c>
      <c r="D34" s="5">
        <v>1000</v>
      </c>
      <c r="E34" s="5">
        <v>10000</v>
      </c>
      <c r="F34" s="5">
        <v>100000</v>
      </c>
      <c r="G34" s="5">
        <v>1000000</v>
      </c>
    </row>
    <row r="35" spans="1:15" x14ac:dyDescent="0.45">
      <c r="A35" s="4" t="s">
        <v>0</v>
      </c>
      <c r="B35" s="4">
        <v>0</v>
      </c>
      <c r="C35" s="4">
        <v>1</v>
      </c>
      <c r="D35" s="4">
        <v>1</v>
      </c>
      <c r="E35" s="4">
        <v>6</v>
      </c>
      <c r="F35" s="4">
        <v>44</v>
      </c>
      <c r="G35" s="4">
        <v>188</v>
      </c>
    </row>
    <row r="36" spans="1:15" x14ac:dyDescent="0.45">
      <c r="A36" s="4" t="s">
        <v>1</v>
      </c>
      <c r="B36" s="4">
        <v>24</v>
      </c>
      <c r="C36" s="4">
        <v>378</v>
      </c>
      <c r="D36" s="4">
        <v>6662</v>
      </c>
      <c r="E36" s="4">
        <v>88726</v>
      </c>
      <c r="F36" s="4">
        <v>1098131</v>
      </c>
      <c r="G36" s="4">
        <v>13562090</v>
      </c>
    </row>
    <row r="37" spans="1:15" x14ac:dyDescent="0.45">
      <c r="A37" s="4" t="s">
        <v>2</v>
      </c>
      <c r="B37" s="4">
        <v>30</v>
      </c>
      <c r="C37" s="4">
        <v>664</v>
      </c>
      <c r="D37" s="4">
        <v>11905</v>
      </c>
      <c r="E37" s="4">
        <v>156305</v>
      </c>
      <c r="F37" s="4">
        <v>2113616</v>
      </c>
      <c r="G37" s="4">
        <v>25913526</v>
      </c>
    </row>
    <row r="38" spans="1:15" x14ac:dyDescent="0.45">
      <c r="A38" s="17"/>
      <c r="B38" s="20"/>
      <c r="C38" s="17"/>
      <c r="D38" s="17"/>
      <c r="E38" s="17"/>
      <c r="F38" s="17"/>
      <c r="G38" s="15"/>
    </row>
    <row r="39" spans="1:15" x14ac:dyDescent="0.45">
      <c r="A39" s="4" t="s">
        <v>13</v>
      </c>
      <c r="B39" s="4"/>
      <c r="C39" s="4"/>
      <c r="D39" s="4"/>
      <c r="E39" s="4"/>
      <c r="F39" s="4"/>
      <c r="G39" s="4"/>
    </row>
    <row r="40" spans="1:15" x14ac:dyDescent="0.45">
      <c r="A40" s="4" t="s">
        <v>3</v>
      </c>
      <c r="B40" s="5">
        <v>10</v>
      </c>
      <c r="C40" s="5">
        <v>100</v>
      </c>
      <c r="D40" s="5">
        <v>1000</v>
      </c>
      <c r="E40" s="5">
        <v>10000</v>
      </c>
      <c r="F40" s="5">
        <v>100000</v>
      </c>
      <c r="G40" s="5">
        <v>1000000</v>
      </c>
    </row>
    <row r="41" spans="1:15" x14ac:dyDescent="0.45">
      <c r="A41" s="4" t="s">
        <v>0</v>
      </c>
      <c r="B41" s="4">
        <v>0</v>
      </c>
      <c r="C41" s="4">
        <v>0</v>
      </c>
      <c r="D41" s="4">
        <v>2</v>
      </c>
      <c r="E41" s="4">
        <v>17</v>
      </c>
      <c r="F41" s="4">
        <v>58</v>
      </c>
      <c r="G41" s="4">
        <v>172</v>
      </c>
    </row>
    <row r="42" spans="1:15" x14ac:dyDescent="0.45">
      <c r="A42" s="4" t="s">
        <v>1</v>
      </c>
      <c r="B42" s="4">
        <v>12</v>
      </c>
      <c r="C42" s="4">
        <v>357</v>
      </c>
      <c r="D42" s="4">
        <v>5909</v>
      </c>
      <c r="E42" s="4">
        <v>90377</v>
      </c>
      <c r="F42" s="4">
        <v>1073469</v>
      </c>
      <c r="G42" s="4">
        <v>13131919</v>
      </c>
    </row>
    <row r="43" spans="1:15" x14ac:dyDescent="0.45">
      <c r="A43" s="4" t="s">
        <v>2</v>
      </c>
      <c r="B43" s="4">
        <v>33</v>
      </c>
      <c r="C43" s="4">
        <v>685</v>
      </c>
      <c r="D43" s="4">
        <v>11564</v>
      </c>
      <c r="E43" s="4">
        <v>168872</v>
      </c>
      <c r="F43" s="4">
        <v>2168409</v>
      </c>
      <c r="G43" s="4">
        <v>24919643</v>
      </c>
    </row>
    <row r="44" spans="1:15" x14ac:dyDescent="0.45">
      <c r="A44" s="17"/>
      <c r="B44" s="20"/>
      <c r="C44" s="17"/>
      <c r="D44" s="17"/>
      <c r="E44" s="17"/>
      <c r="F44" s="17"/>
      <c r="G44" s="15"/>
    </row>
    <row r="45" spans="1:15" x14ac:dyDescent="0.45">
      <c r="A45" s="4" t="s">
        <v>14</v>
      </c>
      <c r="B45" s="4"/>
      <c r="C45" s="4"/>
      <c r="D45" s="4"/>
      <c r="E45" s="4"/>
      <c r="F45" s="4"/>
      <c r="G45" s="4"/>
    </row>
    <row r="46" spans="1:15" x14ac:dyDescent="0.45">
      <c r="A46" s="4" t="s">
        <v>3</v>
      </c>
      <c r="B46" s="5">
        <v>10</v>
      </c>
      <c r="C46" s="5">
        <v>100</v>
      </c>
      <c r="D46" s="5">
        <v>1000</v>
      </c>
      <c r="E46" s="5">
        <v>10000</v>
      </c>
      <c r="F46" s="5">
        <v>100000</v>
      </c>
      <c r="G46" s="5">
        <v>1000000</v>
      </c>
    </row>
    <row r="47" spans="1:15" x14ac:dyDescent="0.45">
      <c r="A47" s="4" t="s">
        <v>0</v>
      </c>
      <c r="B47" s="4">
        <v>0</v>
      </c>
      <c r="C47" s="4">
        <v>0</v>
      </c>
      <c r="D47" s="4">
        <v>1</v>
      </c>
      <c r="E47" s="4">
        <v>4</v>
      </c>
      <c r="F47" s="4">
        <v>16</v>
      </c>
      <c r="G47" s="4">
        <v>181</v>
      </c>
      <c r="I47" s="26" t="s">
        <v>25</v>
      </c>
      <c r="J47" s="26"/>
      <c r="K47" s="26"/>
      <c r="L47" s="26"/>
      <c r="M47" s="26"/>
      <c r="N47" s="26"/>
      <c r="O47" s="26"/>
    </row>
    <row r="48" spans="1:15" x14ac:dyDescent="0.45">
      <c r="A48" s="4" t="s">
        <v>1</v>
      </c>
      <c r="B48" s="4">
        <v>15</v>
      </c>
      <c r="C48" s="4">
        <v>463</v>
      </c>
      <c r="D48" s="4">
        <v>5958</v>
      </c>
      <c r="E48" s="4">
        <v>87443</v>
      </c>
      <c r="F48" s="4">
        <v>1215670</v>
      </c>
      <c r="G48" s="4">
        <v>12645475</v>
      </c>
      <c r="I48" s="26" t="s">
        <v>3</v>
      </c>
      <c r="J48" s="42">
        <v>10</v>
      </c>
      <c r="K48" s="42">
        <v>100</v>
      </c>
      <c r="L48" s="42">
        <v>1000</v>
      </c>
      <c r="M48" s="42">
        <v>10000</v>
      </c>
      <c r="N48" s="42">
        <v>100000</v>
      </c>
      <c r="O48" s="42">
        <v>1000000</v>
      </c>
    </row>
    <row r="49" spans="1:15" x14ac:dyDescent="0.45">
      <c r="A49" s="4" t="s">
        <v>2</v>
      </c>
      <c r="B49" s="4">
        <v>27</v>
      </c>
      <c r="C49" s="4">
        <v>695</v>
      </c>
      <c r="D49" s="4">
        <v>10727</v>
      </c>
      <c r="E49" s="4">
        <v>170539</v>
      </c>
      <c r="F49" s="4">
        <v>2160356</v>
      </c>
      <c r="G49" s="4">
        <v>25506190</v>
      </c>
      <c r="I49" s="26" t="s">
        <v>0</v>
      </c>
      <c r="J49" s="26">
        <v>0</v>
      </c>
      <c r="K49" s="26">
        <v>1</v>
      </c>
      <c r="L49" s="26">
        <v>1</v>
      </c>
      <c r="M49" s="26">
        <v>6</v>
      </c>
      <c r="N49" s="26">
        <v>44</v>
      </c>
      <c r="O49" s="26">
        <v>188</v>
      </c>
    </row>
    <row r="50" spans="1:15" x14ac:dyDescent="0.45">
      <c r="A50" s="17"/>
      <c r="B50" s="20"/>
      <c r="C50" s="17"/>
      <c r="D50" s="17"/>
      <c r="E50" s="17"/>
      <c r="F50" s="17"/>
      <c r="G50" s="15"/>
      <c r="I50" s="26" t="s">
        <v>1</v>
      </c>
      <c r="J50" s="26">
        <v>24</v>
      </c>
      <c r="K50" s="26">
        <v>378</v>
      </c>
      <c r="L50" s="26">
        <v>6662</v>
      </c>
      <c r="M50" s="26">
        <v>88726</v>
      </c>
      <c r="N50" s="26">
        <v>1098131</v>
      </c>
      <c r="O50" s="26">
        <v>13562090</v>
      </c>
    </row>
    <row r="51" spans="1:15" x14ac:dyDescent="0.45">
      <c r="A51" s="4" t="s">
        <v>15</v>
      </c>
      <c r="B51" s="4"/>
      <c r="C51" s="4"/>
      <c r="D51" s="4"/>
      <c r="E51" s="4"/>
      <c r="F51" s="4"/>
      <c r="G51" s="4"/>
      <c r="I51" s="26" t="s">
        <v>2</v>
      </c>
      <c r="J51" s="26">
        <v>30</v>
      </c>
      <c r="K51" s="26">
        <v>664</v>
      </c>
      <c r="L51" s="26">
        <v>11905</v>
      </c>
      <c r="M51" s="26">
        <v>156305</v>
      </c>
      <c r="N51" s="26">
        <v>2113616</v>
      </c>
      <c r="O51" s="26">
        <v>25913526</v>
      </c>
    </row>
    <row r="52" spans="1:15" x14ac:dyDescent="0.45">
      <c r="A52" s="4" t="s">
        <v>3</v>
      </c>
      <c r="B52" s="5">
        <v>10</v>
      </c>
      <c r="C52" s="5">
        <v>100</v>
      </c>
      <c r="D52" s="5">
        <v>1000</v>
      </c>
      <c r="E52" s="5">
        <v>10000</v>
      </c>
      <c r="F52" s="5">
        <v>100000</v>
      </c>
      <c r="G52" s="5">
        <v>1000000</v>
      </c>
    </row>
    <row r="53" spans="1:15" x14ac:dyDescent="0.45">
      <c r="A53" s="4" t="s">
        <v>0</v>
      </c>
      <c r="B53" s="4">
        <v>0</v>
      </c>
      <c r="C53" s="4">
        <v>0</v>
      </c>
      <c r="D53" s="4">
        <v>1</v>
      </c>
      <c r="E53" s="4">
        <v>4</v>
      </c>
      <c r="F53" s="4">
        <v>20</v>
      </c>
      <c r="G53" s="4">
        <v>178</v>
      </c>
    </row>
    <row r="54" spans="1:15" x14ac:dyDescent="0.45">
      <c r="A54" s="4" t="s">
        <v>1</v>
      </c>
      <c r="B54" s="4">
        <v>26</v>
      </c>
      <c r="C54" s="4">
        <v>457</v>
      </c>
      <c r="D54" s="4">
        <v>5423</v>
      </c>
      <c r="E54" s="4">
        <v>77689</v>
      </c>
      <c r="F54" s="4">
        <v>1167309</v>
      </c>
      <c r="G54" s="4">
        <v>14114062</v>
      </c>
    </row>
    <row r="55" spans="1:15" x14ac:dyDescent="0.45">
      <c r="A55" s="4" t="s">
        <v>2</v>
      </c>
      <c r="B55" s="4">
        <v>33</v>
      </c>
      <c r="C55" s="4">
        <v>768</v>
      </c>
      <c r="D55" s="4">
        <v>11207</v>
      </c>
      <c r="E55" s="4">
        <v>156688</v>
      </c>
      <c r="F55" s="4">
        <v>2120906</v>
      </c>
      <c r="G55" s="4">
        <v>25570226</v>
      </c>
    </row>
    <row r="56" spans="1:15" x14ac:dyDescent="0.45">
      <c r="A56" s="17"/>
      <c r="B56" s="20"/>
      <c r="C56" s="17"/>
      <c r="D56" s="17"/>
      <c r="E56" s="17"/>
      <c r="F56" s="17"/>
      <c r="G56" s="15"/>
    </row>
    <row r="57" spans="1:15" x14ac:dyDescent="0.45">
      <c r="A57" s="4" t="s">
        <v>16</v>
      </c>
      <c r="B57" s="4"/>
      <c r="C57" s="4"/>
      <c r="D57" s="4"/>
      <c r="E57" s="4"/>
      <c r="F57" s="4"/>
      <c r="G57" s="4"/>
    </row>
    <row r="58" spans="1:15" x14ac:dyDescent="0.45">
      <c r="A58" s="4" t="s">
        <v>3</v>
      </c>
      <c r="B58" s="5">
        <v>10</v>
      </c>
      <c r="C58" s="5">
        <v>100</v>
      </c>
      <c r="D58" s="5">
        <v>1000</v>
      </c>
      <c r="E58" s="5">
        <v>10000</v>
      </c>
      <c r="F58" s="5">
        <v>100000</v>
      </c>
      <c r="G58" s="5">
        <v>1000000</v>
      </c>
    </row>
    <row r="59" spans="1:15" x14ac:dyDescent="0.45">
      <c r="A59" s="4" t="s">
        <v>0</v>
      </c>
      <c r="B59" s="4">
        <v>0</v>
      </c>
      <c r="C59" s="4">
        <v>1</v>
      </c>
      <c r="D59" s="4">
        <v>2</v>
      </c>
      <c r="E59" s="4">
        <v>5</v>
      </c>
      <c r="F59" s="4">
        <v>19</v>
      </c>
      <c r="G59" s="4">
        <v>206</v>
      </c>
    </row>
    <row r="60" spans="1:15" x14ac:dyDescent="0.45">
      <c r="A60" s="4" t="s">
        <v>1</v>
      </c>
      <c r="B60" s="4">
        <v>17</v>
      </c>
      <c r="C60" s="4">
        <v>365</v>
      </c>
      <c r="D60" s="4">
        <v>5574</v>
      </c>
      <c r="E60" s="4">
        <v>78326</v>
      </c>
      <c r="F60" s="4">
        <v>1147653</v>
      </c>
      <c r="G60" s="4">
        <v>14036709</v>
      </c>
    </row>
    <row r="61" spans="1:15" x14ac:dyDescent="0.45">
      <c r="A61" s="4" t="s">
        <v>2</v>
      </c>
      <c r="B61" s="4">
        <v>29</v>
      </c>
      <c r="C61" s="4">
        <v>647</v>
      </c>
      <c r="D61" s="4">
        <v>11161</v>
      </c>
      <c r="E61" s="4">
        <v>160806</v>
      </c>
      <c r="F61" s="4">
        <v>2171743</v>
      </c>
      <c r="G61" s="4">
        <v>26753085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FC9B-8D80-49DF-8C34-D45ED86E511F}">
  <dimension ref="A1:O61"/>
  <sheetViews>
    <sheetView zoomScale="70" zoomScaleNormal="70" workbookViewId="0">
      <selection activeCell="I1" sqref="I1:O5"/>
    </sheetView>
  </sheetViews>
  <sheetFormatPr defaultRowHeight="14.25" x14ac:dyDescent="0.45"/>
  <cols>
    <col min="1" max="1" width="28.59765625" bestFit="1" customWidth="1"/>
    <col min="2" max="2" width="3.1328125" bestFit="1" customWidth="1"/>
    <col min="3" max="3" width="5.1328125" bestFit="1" customWidth="1"/>
    <col min="4" max="4" width="7.1328125" bestFit="1" customWidth="1"/>
    <col min="5" max="5" width="9.1328125" bestFit="1" customWidth="1"/>
    <col min="6" max="6" width="11.1328125" bestFit="1" customWidth="1"/>
    <col min="7" max="7" width="8.06640625" bestFit="1" customWidth="1"/>
    <col min="9" max="9" width="19.53125" bestFit="1" customWidth="1"/>
    <col min="10" max="10" width="6.06640625" bestFit="1" customWidth="1"/>
    <col min="11" max="11" width="8.06640625" bestFit="1" customWidth="1"/>
    <col min="12" max="12" width="10.06640625" bestFit="1" customWidth="1"/>
    <col min="13" max="13" width="12.06640625" bestFit="1" customWidth="1"/>
    <col min="14" max="14" width="11.1328125" bestFit="1" customWidth="1"/>
    <col min="15" max="15" width="13.265625" bestFit="1" customWidth="1"/>
  </cols>
  <sheetData>
    <row r="1" spans="1:15" x14ac:dyDescent="0.45">
      <c r="A1" s="63" t="s">
        <v>20</v>
      </c>
      <c r="B1" s="64"/>
      <c r="C1" s="65"/>
      <c r="D1" s="65"/>
      <c r="E1" s="65"/>
      <c r="F1" s="65"/>
      <c r="G1" s="65"/>
      <c r="I1" s="26" t="s">
        <v>17</v>
      </c>
      <c r="J1" s="26"/>
      <c r="K1" s="26"/>
      <c r="L1" s="26"/>
      <c r="M1" s="26"/>
      <c r="N1" s="26"/>
      <c r="O1" s="26"/>
    </row>
    <row r="2" spans="1:15" x14ac:dyDescent="0.45">
      <c r="A2" s="66"/>
      <c r="B2" s="67"/>
      <c r="C2" s="68"/>
      <c r="D2" s="68"/>
      <c r="E2" s="68"/>
      <c r="F2" s="68"/>
      <c r="G2" s="65"/>
      <c r="I2" s="26" t="s">
        <v>3</v>
      </c>
      <c r="J2" s="42">
        <v>10</v>
      </c>
      <c r="K2" s="42">
        <v>100</v>
      </c>
      <c r="L2" s="42">
        <v>1000</v>
      </c>
      <c r="M2" s="42">
        <v>10000</v>
      </c>
      <c r="N2" s="42">
        <v>100000</v>
      </c>
      <c r="O2" s="42">
        <v>1000000</v>
      </c>
    </row>
    <row r="3" spans="1:15" x14ac:dyDescent="0.45">
      <c r="A3" s="69" t="s">
        <v>7</v>
      </c>
      <c r="B3" s="69"/>
      <c r="C3" s="69"/>
      <c r="D3" s="69"/>
      <c r="E3" s="69"/>
      <c r="F3" s="69"/>
      <c r="G3" s="69"/>
      <c r="I3" s="26" t="s">
        <v>0</v>
      </c>
      <c r="J3" s="42">
        <f>AVERAGE(HeapSort!B5,HeapSort!B11,HeapSort!B17,HeapSort!B23,HeapSort!B29,HeapSort!B35,HeapSort!B41,HeapSort!B47,HeapSort!B53,HeapSort!B59)</f>
        <v>0</v>
      </c>
      <c r="K3" s="42">
        <f>AVERAGE(HeapSort!C5,HeapSort!C11,HeapSort!C17,HeapSort!C23,HeapSort!C29,HeapSort!C35,HeapSort!C41,HeapSort!C47,HeapSort!C53,HeapSort!C59)</f>
        <v>0.8</v>
      </c>
      <c r="L3" s="42">
        <f>AVERAGE(HeapSort!D5,HeapSort!E11,HeapSort!D17,HeapSort!D23,HeapSort!D29,HeapSort!D35,HeapSort!D41,HeapSort!D47,HeapSort!D53,HeapSort!D59)</f>
        <v>1.8</v>
      </c>
      <c r="M3" s="42">
        <f>AVERAGE(HeapSort!E5,HeapSort!F11,HeapSort!E17,HeapSort!E23,HeapSort!E29,HeapSort!E35,HeapSort!E41,HeapSort!E47,HeapSort!E53,HeapSort!E59)</f>
        <v>9.8000000000000007</v>
      </c>
      <c r="N3" s="42">
        <f>AVERAGE(HeapSort!F5,HeapSort!G11,HeapSort!F17,HeapSort!F23,HeapSort!F29,HeapSort!F35,HeapSort!F41,HeapSort!F47,HeapSort!F53,HeapSort!F59)</f>
        <v>58.2</v>
      </c>
      <c r="O3" s="42">
        <f>AVERAGE(HeapSort!G5,HeapSort!G11,HeapSort!G17,HeapSort!G23,HeapSort!G29,HeapSort!G35,HeapSort!G41,HeapSort!G47,HeapSort!G53,HeapSort!G59)</f>
        <v>341.6</v>
      </c>
    </row>
    <row r="4" spans="1:15" x14ac:dyDescent="0.45">
      <c r="A4" s="69" t="s">
        <v>3</v>
      </c>
      <c r="B4" s="70">
        <v>10</v>
      </c>
      <c r="C4" s="70">
        <v>100</v>
      </c>
      <c r="D4" s="70">
        <v>1000</v>
      </c>
      <c r="E4" s="70">
        <v>10000</v>
      </c>
      <c r="F4" s="70">
        <v>100000</v>
      </c>
      <c r="G4" s="70">
        <v>1000000</v>
      </c>
      <c r="I4" s="26" t="s">
        <v>1</v>
      </c>
      <c r="J4" s="42">
        <f>AVERAGE(HeapSort!B6,HeapSort!B12,HeapSort!B18,HeapSort!B24,HeapSort!B30,HeapSort!B36,HeapSort!B42,HeapSort!B48,HeapSort!B54,HeapSort!B60)</f>
        <v>27.8</v>
      </c>
      <c r="K4" s="42">
        <f>AVERAGE(HeapSort!C6,HeapSort!C12,HeapSort!C18,HeapSort!C24,HeapSort!C30,HeapSort!C36,HeapSort!C42,HeapSort!C48,HeapSort!C54,HeapSort!C60)</f>
        <v>581.70000000000005</v>
      </c>
      <c r="L4" s="42">
        <f>AVERAGE(HeapSort!D6,HeapSort!E12,HeapSort!D18,HeapSort!D24,HeapSort!D30,HeapSort!D36,HeapSort!D42,HeapSort!D48,HeapSort!D54,HeapSort!D60)</f>
        <v>20658.3</v>
      </c>
      <c r="M4" s="42">
        <f>AVERAGE(HeapSort!E6,HeapSort!F12,HeapSort!E18,HeapSort!E24,HeapSort!E30,HeapSort!E36,HeapSort!E42,HeapSort!E48,HeapSort!E54,HeapSort!E60)</f>
        <v>269727</v>
      </c>
      <c r="N4" s="42">
        <f>AVERAGE(HeapSort!F6,HeapSort!G12,HeapSort!F18,HeapSort!F24,HeapSort!F30,HeapSort!F36,HeapSort!F42,HeapSort!F48,HeapSort!F54,HeapSort!F60)</f>
        <v>3326971.7</v>
      </c>
      <c r="O4" s="42">
        <f>AVERAGE(HeapSort!G6,HeapSort!G12,HeapSort!G18,HeapSort!G24,HeapSort!G30,HeapSort!G36,HeapSort!G42,HeapSort!G48,HeapSort!G54,HeapSort!G60)</f>
        <v>19073786.399999999</v>
      </c>
    </row>
    <row r="5" spans="1:15" x14ac:dyDescent="0.45">
      <c r="A5" s="69" t="s">
        <v>0</v>
      </c>
      <c r="B5" s="69">
        <v>0</v>
      </c>
      <c r="C5" s="69">
        <v>1</v>
      </c>
      <c r="D5" s="69">
        <v>5</v>
      </c>
      <c r="E5" s="69">
        <v>8</v>
      </c>
      <c r="F5" s="69">
        <v>39</v>
      </c>
      <c r="G5" s="69">
        <v>580</v>
      </c>
      <c r="I5" s="26" t="s">
        <v>2</v>
      </c>
      <c r="J5" s="42">
        <f>AVERAGE(HeapSort!D7,HeapSort!B13,HeapSort!B19,HeapSort!B25,HeapSort!B31,HeapSort!B37,HeapSort!B43,HeapSort!B49,HeapSort!B55,HeapSort!B61)</f>
        <v>1975.6</v>
      </c>
      <c r="K5" s="42">
        <f>AVERAGE(HeapSort!E7,HeapSort!C13,HeapSort!C19,HeapSort!C25,HeapSort!C31,HeapSort!C37,HeapSort!C43,HeapSort!C49,HeapSort!C55,HeapSort!C61)</f>
        <v>27036</v>
      </c>
      <c r="L5" s="42">
        <f>AVERAGE(HeapSort!F7,HeapSort!D13,HeapSort!D19,HeapSort!D25,HeapSort!D31,HeapSort!D37,HeapSort!D43,HeapSort!D49,HeapSort!D55,HeapSort!D61)</f>
        <v>342833.2</v>
      </c>
      <c r="M5" s="42">
        <f>AVERAGE(HeapSort!G7,HeapSort!E13,HeapSort!E19,HeapSort!E25,HeapSort!E31,HeapSort!E37,HeapSort!E43,HeapSort!E49,HeapSort!E55,HeapSort!E61)</f>
        <v>4147652.8</v>
      </c>
      <c r="N5" s="42">
        <f>AVERAGE(HeapSort!F7,HeapSort!F13,HeapSort!F19,HeapSort!F25,HeapSort!F31,HeapSort!F37,HeapSort!F43,HeapSort!F49,HeapSort!F55,HeapSort!F61)</f>
        <v>3254772.8</v>
      </c>
      <c r="O5" s="42">
        <f>AVERAGE(HeapSort!G7,HeapSort!G13,HeapSort!G19,HeapSort!G25,HeapSort!G31,HeapSort!G37,HeapSort!G43,HeapSort!G49,HeapSort!G55,HeapSort!G61)</f>
        <v>39147572.799999997</v>
      </c>
    </row>
    <row r="6" spans="1:15" x14ac:dyDescent="0.45">
      <c r="A6" s="69" t="s">
        <v>1</v>
      </c>
      <c r="B6" s="69">
        <v>27</v>
      </c>
      <c r="C6" s="69">
        <v>578</v>
      </c>
      <c r="D6" s="69">
        <v>9082</v>
      </c>
      <c r="E6" s="69">
        <v>124491</v>
      </c>
      <c r="F6" s="69">
        <v>1577625</v>
      </c>
      <c r="G6" s="69">
        <v>19073125</v>
      </c>
    </row>
    <row r="7" spans="1:15" x14ac:dyDescent="0.45">
      <c r="A7" s="69" t="s">
        <v>2</v>
      </c>
      <c r="B7" s="69">
        <v>64</v>
      </c>
      <c r="C7" s="69">
        <v>1256</v>
      </c>
      <c r="D7" s="69">
        <v>19164</v>
      </c>
      <c r="E7" s="69">
        <v>258982</v>
      </c>
      <c r="F7" s="69">
        <v>3255250</v>
      </c>
      <c r="G7" s="69">
        <v>39146250</v>
      </c>
    </row>
    <row r="8" spans="1:15" x14ac:dyDescent="0.45">
      <c r="A8" s="66"/>
      <c r="B8" s="71"/>
      <c r="C8" s="66"/>
      <c r="D8" s="66"/>
      <c r="E8" s="66"/>
      <c r="F8" s="66"/>
      <c r="G8" s="65"/>
    </row>
    <row r="9" spans="1:15" x14ac:dyDescent="0.45">
      <c r="A9" s="69" t="s">
        <v>8</v>
      </c>
      <c r="B9" s="69"/>
      <c r="C9" s="69"/>
      <c r="D9" s="69"/>
      <c r="E9" s="69"/>
      <c r="F9" s="69"/>
      <c r="G9" s="69"/>
    </row>
    <row r="10" spans="1:15" x14ac:dyDescent="0.45">
      <c r="A10" s="69" t="s">
        <v>3</v>
      </c>
      <c r="B10" s="70">
        <v>10</v>
      </c>
      <c r="C10" s="70">
        <v>100</v>
      </c>
      <c r="D10" s="70">
        <v>1000</v>
      </c>
      <c r="E10" s="70">
        <v>10000</v>
      </c>
      <c r="F10" s="70">
        <v>100000</v>
      </c>
      <c r="G10" s="70">
        <v>1000000</v>
      </c>
    </row>
    <row r="11" spans="1:15" x14ac:dyDescent="0.45">
      <c r="A11" s="69" t="s">
        <v>0</v>
      </c>
      <c r="B11" s="69">
        <v>0</v>
      </c>
      <c r="C11" s="69">
        <v>1</v>
      </c>
      <c r="D11" s="69">
        <v>1</v>
      </c>
      <c r="E11" s="69">
        <v>6</v>
      </c>
      <c r="F11" s="69">
        <v>32</v>
      </c>
      <c r="G11" s="69">
        <v>297</v>
      </c>
    </row>
    <row r="12" spans="1:15" x14ac:dyDescent="0.45">
      <c r="A12" s="69" t="s">
        <v>1</v>
      </c>
      <c r="B12" s="69">
        <v>28</v>
      </c>
      <c r="C12" s="69">
        <v>587</v>
      </c>
      <c r="D12" s="69">
        <v>9089</v>
      </c>
      <c r="E12" s="69">
        <v>124549</v>
      </c>
      <c r="F12" s="69">
        <v>1577189</v>
      </c>
      <c r="G12" s="69">
        <v>19073042</v>
      </c>
    </row>
    <row r="13" spans="1:15" x14ac:dyDescent="0.45">
      <c r="A13" s="69" t="s">
        <v>2</v>
      </c>
      <c r="B13" s="69">
        <v>66</v>
      </c>
      <c r="C13" s="69">
        <v>1274</v>
      </c>
      <c r="D13" s="69">
        <v>19178</v>
      </c>
      <c r="E13" s="69">
        <v>259098</v>
      </c>
      <c r="F13" s="69">
        <v>3254378</v>
      </c>
      <c r="G13" s="69">
        <v>39146084</v>
      </c>
    </row>
    <row r="14" spans="1:15" x14ac:dyDescent="0.45">
      <c r="A14" s="66"/>
      <c r="B14" s="71"/>
      <c r="C14" s="66"/>
      <c r="D14" s="66"/>
      <c r="E14" s="66"/>
      <c r="F14" s="66"/>
      <c r="G14" s="65"/>
    </row>
    <row r="15" spans="1:15" x14ac:dyDescent="0.45">
      <c r="A15" s="69" t="s">
        <v>9</v>
      </c>
      <c r="B15" s="69"/>
      <c r="C15" s="69"/>
      <c r="D15" s="69"/>
      <c r="E15" s="69"/>
      <c r="F15" s="69"/>
      <c r="G15" s="69"/>
    </row>
    <row r="16" spans="1:15" x14ac:dyDescent="0.45">
      <c r="A16" s="69" t="s">
        <v>3</v>
      </c>
      <c r="B16" s="70">
        <v>10</v>
      </c>
      <c r="C16" s="70">
        <v>100</v>
      </c>
      <c r="D16" s="70">
        <v>1000</v>
      </c>
      <c r="E16" s="70">
        <v>10000</v>
      </c>
      <c r="F16" s="70">
        <v>100000</v>
      </c>
      <c r="G16" s="70">
        <v>1000000</v>
      </c>
    </row>
    <row r="17" spans="1:15" x14ac:dyDescent="0.45">
      <c r="A17" s="69" t="s">
        <v>0</v>
      </c>
      <c r="B17" s="69">
        <v>0</v>
      </c>
      <c r="C17" s="69">
        <v>1</v>
      </c>
      <c r="D17" s="69">
        <v>0</v>
      </c>
      <c r="E17" s="69">
        <v>7</v>
      </c>
      <c r="F17" s="69">
        <v>33</v>
      </c>
      <c r="G17" s="69">
        <v>292</v>
      </c>
    </row>
    <row r="18" spans="1:15" x14ac:dyDescent="0.45">
      <c r="A18" s="69" t="s">
        <v>1</v>
      </c>
      <c r="B18" s="69">
        <v>30</v>
      </c>
      <c r="C18" s="69">
        <v>568</v>
      </c>
      <c r="D18" s="69">
        <v>9126</v>
      </c>
      <c r="E18" s="69">
        <v>124363</v>
      </c>
      <c r="F18" s="69">
        <v>1577390</v>
      </c>
      <c r="G18" s="69">
        <v>19072314</v>
      </c>
    </row>
    <row r="19" spans="1:15" x14ac:dyDescent="0.45">
      <c r="A19" s="69" t="s">
        <v>2</v>
      </c>
      <c r="B19" s="69">
        <v>70</v>
      </c>
      <c r="C19" s="69">
        <v>1236</v>
      </c>
      <c r="D19" s="69">
        <v>19252</v>
      </c>
      <c r="E19" s="69">
        <v>258726</v>
      </c>
      <c r="F19" s="69">
        <v>3254780</v>
      </c>
      <c r="G19" s="69">
        <v>39144628</v>
      </c>
    </row>
    <row r="20" spans="1:15" x14ac:dyDescent="0.45">
      <c r="A20" s="66"/>
      <c r="B20" s="71"/>
      <c r="C20" s="66"/>
      <c r="D20" s="66"/>
      <c r="E20" s="66"/>
      <c r="F20" s="66"/>
      <c r="G20" s="65"/>
    </row>
    <row r="21" spans="1:15" x14ac:dyDescent="0.45">
      <c r="A21" s="69" t="s">
        <v>10</v>
      </c>
      <c r="B21" s="69"/>
      <c r="C21" s="69"/>
      <c r="D21" s="69"/>
      <c r="E21" s="69"/>
      <c r="F21" s="69"/>
      <c r="G21" s="69"/>
    </row>
    <row r="22" spans="1:15" x14ac:dyDescent="0.45">
      <c r="A22" s="69" t="s">
        <v>3</v>
      </c>
      <c r="B22" s="70">
        <v>10</v>
      </c>
      <c r="C22" s="70">
        <v>100</v>
      </c>
      <c r="D22" s="70">
        <v>1000</v>
      </c>
      <c r="E22" s="70">
        <v>10000</v>
      </c>
      <c r="F22" s="70">
        <v>100000</v>
      </c>
      <c r="G22" s="70">
        <v>1000000</v>
      </c>
    </row>
    <row r="23" spans="1:15" x14ac:dyDescent="0.45">
      <c r="A23" s="69" t="s">
        <v>0</v>
      </c>
      <c r="B23" s="69">
        <v>0</v>
      </c>
      <c r="C23" s="69">
        <v>0</v>
      </c>
      <c r="D23" s="69">
        <v>1</v>
      </c>
      <c r="E23" s="69">
        <v>5</v>
      </c>
      <c r="F23" s="69">
        <v>30</v>
      </c>
      <c r="G23" s="69">
        <v>296</v>
      </c>
    </row>
    <row r="24" spans="1:15" x14ac:dyDescent="0.45">
      <c r="A24" s="69" t="s">
        <v>1</v>
      </c>
      <c r="B24" s="69">
        <v>28</v>
      </c>
      <c r="C24" s="69">
        <v>591</v>
      </c>
      <c r="D24" s="69">
        <v>9104</v>
      </c>
      <c r="E24" s="69">
        <v>124526</v>
      </c>
      <c r="F24" s="69">
        <v>1577138</v>
      </c>
      <c r="G24" s="69">
        <v>19073999</v>
      </c>
    </row>
    <row r="25" spans="1:15" x14ac:dyDescent="0.45">
      <c r="A25" s="69" t="s">
        <v>2</v>
      </c>
      <c r="B25" s="69">
        <v>66</v>
      </c>
      <c r="C25" s="69">
        <v>1282</v>
      </c>
      <c r="D25" s="69">
        <v>19208</v>
      </c>
      <c r="E25" s="69">
        <v>259052</v>
      </c>
      <c r="F25" s="69">
        <v>3254276</v>
      </c>
      <c r="G25" s="69">
        <v>39147998</v>
      </c>
      <c r="I25" s="26" t="s">
        <v>21</v>
      </c>
      <c r="J25" s="26"/>
      <c r="K25" s="26"/>
      <c r="L25" s="26"/>
      <c r="M25" s="26"/>
      <c r="N25" s="26"/>
      <c r="O25" s="26"/>
    </row>
    <row r="26" spans="1:15" x14ac:dyDescent="0.45">
      <c r="A26" s="66"/>
      <c r="B26" s="71"/>
      <c r="C26" s="66"/>
      <c r="D26" s="66"/>
      <c r="E26" s="66"/>
      <c r="F26" s="66"/>
      <c r="G26" s="65"/>
      <c r="I26" s="26" t="s">
        <v>3</v>
      </c>
      <c r="J26" s="42">
        <v>10</v>
      </c>
      <c r="K26" s="42">
        <v>100</v>
      </c>
      <c r="L26" s="42">
        <v>1000</v>
      </c>
      <c r="M26" s="42">
        <v>10000</v>
      </c>
      <c r="N26" s="42">
        <v>100000</v>
      </c>
      <c r="O26" s="42">
        <v>1000000</v>
      </c>
    </row>
    <row r="27" spans="1:15" x14ac:dyDescent="0.45">
      <c r="A27" s="69" t="s">
        <v>11</v>
      </c>
      <c r="B27" s="69"/>
      <c r="C27" s="69"/>
      <c r="D27" s="69"/>
      <c r="E27" s="69"/>
      <c r="F27" s="69"/>
      <c r="G27" s="69"/>
      <c r="I27" s="26" t="s">
        <v>0</v>
      </c>
      <c r="J27" s="26">
        <v>0</v>
      </c>
      <c r="K27" s="26">
        <v>1</v>
      </c>
      <c r="L27" s="26">
        <v>0</v>
      </c>
      <c r="M27" s="26">
        <v>7</v>
      </c>
      <c r="N27" s="26">
        <v>33</v>
      </c>
      <c r="O27" s="26">
        <v>292</v>
      </c>
    </row>
    <row r="28" spans="1:15" x14ac:dyDescent="0.45">
      <c r="A28" s="69" t="s">
        <v>3</v>
      </c>
      <c r="B28" s="70">
        <v>10</v>
      </c>
      <c r="C28" s="70">
        <v>100</v>
      </c>
      <c r="D28" s="70">
        <v>1000</v>
      </c>
      <c r="E28" s="70">
        <v>10000</v>
      </c>
      <c r="F28" s="70">
        <v>100000</v>
      </c>
      <c r="G28" s="70">
        <v>1000000</v>
      </c>
      <c r="I28" s="26" t="s">
        <v>1</v>
      </c>
      <c r="J28" s="26">
        <v>30</v>
      </c>
      <c r="K28" s="26">
        <v>568</v>
      </c>
      <c r="L28" s="26">
        <v>9126</v>
      </c>
      <c r="M28" s="26">
        <v>124363</v>
      </c>
      <c r="N28" s="26">
        <v>1577390</v>
      </c>
      <c r="O28" s="26">
        <v>19072314</v>
      </c>
    </row>
    <row r="29" spans="1:15" x14ac:dyDescent="0.45">
      <c r="A29" s="69" t="s">
        <v>0</v>
      </c>
      <c r="B29" s="69">
        <v>0</v>
      </c>
      <c r="C29" s="69">
        <v>0</v>
      </c>
      <c r="D29" s="69">
        <v>0</v>
      </c>
      <c r="E29" s="69">
        <v>7</v>
      </c>
      <c r="F29" s="69">
        <v>32</v>
      </c>
      <c r="G29" s="69">
        <v>323</v>
      </c>
      <c r="I29" s="26" t="s">
        <v>2</v>
      </c>
      <c r="J29" s="26">
        <v>70</v>
      </c>
      <c r="K29" s="26">
        <v>1236</v>
      </c>
      <c r="L29" s="26">
        <v>19252</v>
      </c>
      <c r="M29" s="26">
        <v>258726</v>
      </c>
      <c r="N29" s="26">
        <v>3254780</v>
      </c>
      <c r="O29" s="26">
        <v>39144628</v>
      </c>
    </row>
    <row r="30" spans="1:15" x14ac:dyDescent="0.45">
      <c r="A30" s="69" t="s">
        <v>1</v>
      </c>
      <c r="B30" s="69">
        <v>28</v>
      </c>
      <c r="C30" s="69">
        <v>580</v>
      </c>
      <c r="D30" s="69">
        <v>9153</v>
      </c>
      <c r="E30" s="69">
        <v>124550</v>
      </c>
      <c r="F30" s="69">
        <v>1577586</v>
      </c>
      <c r="G30" s="69">
        <v>19074123</v>
      </c>
    </row>
    <row r="31" spans="1:15" x14ac:dyDescent="0.45">
      <c r="A31" s="69" t="s">
        <v>2</v>
      </c>
      <c r="B31" s="69">
        <v>66</v>
      </c>
      <c r="C31" s="69">
        <v>1260</v>
      </c>
      <c r="D31" s="69">
        <v>19306</v>
      </c>
      <c r="E31" s="69">
        <v>259100</v>
      </c>
      <c r="F31" s="69">
        <v>3255172</v>
      </c>
      <c r="G31" s="69">
        <v>39148246</v>
      </c>
    </row>
    <row r="32" spans="1:15" x14ac:dyDescent="0.45">
      <c r="A32" s="66"/>
      <c r="B32" s="71"/>
      <c r="C32" s="66"/>
      <c r="D32" s="66"/>
      <c r="E32" s="66"/>
      <c r="F32" s="66"/>
      <c r="G32" s="65"/>
    </row>
    <row r="33" spans="1:7" x14ac:dyDescent="0.45">
      <c r="A33" s="69" t="s">
        <v>12</v>
      </c>
      <c r="B33" s="69"/>
      <c r="C33" s="69"/>
      <c r="D33" s="69"/>
      <c r="E33" s="69"/>
      <c r="F33" s="69"/>
      <c r="G33" s="69"/>
    </row>
    <row r="34" spans="1:7" x14ac:dyDescent="0.45">
      <c r="A34" s="69" t="s">
        <v>3</v>
      </c>
      <c r="B34" s="70">
        <v>10</v>
      </c>
      <c r="C34" s="70">
        <v>100</v>
      </c>
      <c r="D34" s="70">
        <v>1000</v>
      </c>
      <c r="E34" s="70">
        <v>10000</v>
      </c>
      <c r="F34" s="70">
        <v>100000</v>
      </c>
      <c r="G34" s="70">
        <v>1000000</v>
      </c>
    </row>
    <row r="35" spans="1:7" x14ac:dyDescent="0.45">
      <c r="A35" s="69" t="s">
        <v>0</v>
      </c>
      <c r="B35" s="69">
        <v>0</v>
      </c>
      <c r="C35" s="69">
        <v>2</v>
      </c>
      <c r="D35" s="69">
        <v>2</v>
      </c>
      <c r="E35" s="69">
        <v>5</v>
      </c>
      <c r="F35" s="69">
        <v>29</v>
      </c>
      <c r="G35" s="69">
        <v>322</v>
      </c>
    </row>
    <row r="36" spans="1:7" x14ac:dyDescent="0.45">
      <c r="A36" s="69" t="s">
        <v>1</v>
      </c>
      <c r="B36" s="69">
        <v>27</v>
      </c>
      <c r="C36" s="69">
        <v>571</v>
      </c>
      <c r="D36" s="69">
        <v>9122</v>
      </c>
      <c r="E36" s="69">
        <v>124534</v>
      </c>
      <c r="F36" s="69">
        <v>1577678</v>
      </c>
      <c r="G36" s="69">
        <v>19073821</v>
      </c>
    </row>
    <row r="37" spans="1:7" x14ac:dyDescent="0.45">
      <c r="A37" s="69" t="s">
        <v>2</v>
      </c>
      <c r="B37" s="69">
        <v>64</v>
      </c>
      <c r="C37" s="69">
        <v>1242</v>
      </c>
      <c r="D37" s="69">
        <v>19244</v>
      </c>
      <c r="E37" s="69">
        <v>259068</v>
      </c>
      <c r="F37" s="69">
        <v>3255356</v>
      </c>
      <c r="G37" s="69">
        <v>39147642</v>
      </c>
    </row>
    <row r="38" spans="1:7" x14ac:dyDescent="0.45">
      <c r="A38" s="66"/>
      <c r="B38" s="71"/>
      <c r="C38" s="66"/>
      <c r="D38" s="66"/>
      <c r="E38" s="66"/>
      <c r="F38" s="66"/>
      <c r="G38" s="65"/>
    </row>
    <row r="39" spans="1:7" x14ac:dyDescent="0.45">
      <c r="A39" s="69" t="s">
        <v>13</v>
      </c>
      <c r="B39" s="69"/>
      <c r="C39" s="69"/>
      <c r="D39" s="69"/>
      <c r="E39" s="69"/>
      <c r="F39" s="69"/>
      <c r="G39" s="69"/>
    </row>
    <row r="40" spans="1:7" x14ac:dyDescent="0.45">
      <c r="A40" s="69" t="s">
        <v>3</v>
      </c>
      <c r="B40" s="70">
        <v>10</v>
      </c>
      <c r="C40" s="70">
        <v>100</v>
      </c>
      <c r="D40" s="70">
        <v>1000</v>
      </c>
      <c r="E40" s="70">
        <v>10000</v>
      </c>
      <c r="F40" s="70">
        <v>100000</v>
      </c>
      <c r="G40" s="70">
        <v>1000000</v>
      </c>
    </row>
    <row r="41" spans="1:7" x14ac:dyDescent="0.45">
      <c r="A41" s="69" t="s">
        <v>0</v>
      </c>
      <c r="B41" s="69">
        <v>0</v>
      </c>
      <c r="C41" s="69">
        <v>0</v>
      </c>
      <c r="D41" s="69">
        <v>0</v>
      </c>
      <c r="E41" s="69">
        <v>8</v>
      </c>
      <c r="F41" s="69">
        <v>29</v>
      </c>
      <c r="G41" s="69">
        <v>322</v>
      </c>
    </row>
    <row r="42" spans="1:7" x14ac:dyDescent="0.45">
      <c r="A42" s="69" t="s">
        <v>1</v>
      </c>
      <c r="B42" s="69">
        <v>27</v>
      </c>
      <c r="C42" s="69">
        <v>578</v>
      </c>
      <c r="D42" s="69">
        <v>9119</v>
      </c>
      <c r="E42" s="69">
        <v>124373</v>
      </c>
      <c r="F42" s="69">
        <v>1577376</v>
      </c>
      <c r="G42" s="69">
        <v>19074492</v>
      </c>
    </row>
    <row r="43" spans="1:7" x14ac:dyDescent="0.45">
      <c r="A43" s="69" t="s">
        <v>2</v>
      </c>
      <c r="B43" s="69">
        <v>64</v>
      </c>
      <c r="C43" s="69">
        <v>1256</v>
      </c>
      <c r="D43" s="69">
        <v>19238</v>
      </c>
      <c r="E43" s="69">
        <v>258746</v>
      </c>
      <c r="F43" s="69">
        <v>3254752</v>
      </c>
      <c r="G43" s="69">
        <v>39148984</v>
      </c>
    </row>
    <row r="44" spans="1:7" x14ac:dyDescent="0.45">
      <c r="A44" s="66"/>
      <c r="B44" s="71"/>
      <c r="C44" s="66"/>
      <c r="D44" s="66"/>
      <c r="E44" s="66"/>
      <c r="F44" s="66"/>
      <c r="G44" s="65"/>
    </row>
    <row r="45" spans="1:7" x14ac:dyDescent="0.45">
      <c r="A45" s="69" t="s">
        <v>14</v>
      </c>
      <c r="B45" s="69"/>
      <c r="C45" s="69"/>
      <c r="D45" s="69"/>
      <c r="E45" s="69"/>
      <c r="F45" s="69"/>
      <c r="G45" s="69"/>
    </row>
    <row r="46" spans="1:7" x14ac:dyDescent="0.45">
      <c r="A46" s="69" t="s">
        <v>3</v>
      </c>
      <c r="B46" s="70">
        <v>10</v>
      </c>
      <c r="C46" s="70">
        <v>100</v>
      </c>
      <c r="D46" s="70">
        <v>1000</v>
      </c>
      <c r="E46" s="70">
        <v>10000</v>
      </c>
      <c r="F46" s="70">
        <v>100000</v>
      </c>
      <c r="G46" s="70">
        <v>1000000</v>
      </c>
    </row>
    <row r="47" spans="1:7" x14ac:dyDescent="0.45">
      <c r="A47" s="69" t="s">
        <v>0</v>
      </c>
      <c r="B47" s="69">
        <v>0</v>
      </c>
      <c r="C47" s="69">
        <v>1</v>
      </c>
      <c r="D47" s="69">
        <v>0</v>
      </c>
      <c r="E47" s="69">
        <v>8</v>
      </c>
      <c r="F47" s="69">
        <v>32</v>
      </c>
      <c r="G47" s="69">
        <v>361</v>
      </c>
    </row>
    <row r="48" spans="1:7" x14ac:dyDescent="0.45">
      <c r="A48" s="69" t="s">
        <v>1</v>
      </c>
      <c r="B48" s="69">
        <v>28</v>
      </c>
      <c r="C48" s="69">
        <v>600</v>
      </c>
      <c r="D48" s="69">
        <v>9083</v>
      </c>
      <c r="E48" s="69">
        <v>124434</v>
      </c>
      <c r="F48" s="69">
        <v>1577343</v>
      </c>
      <c r="G48" s="69">
        <v>19073443</v>
      </c>
    </row>
    <row r="49" spans="1:15" x14ac:dyDescent="0.45">
      <c r="A49" s="69" t="s">
        <v>2</v>
      </c>
      <c r="B49" s="69">
        <v>66</v>
      </c>
      <c r="C49" s="69">
        <v>1300</v>
      </c>
      <c r="D49" s="69">
        <v>19166</v>
      </c>
      <c r="E49" s="69">
        <v>258868</v>
      </c>
      <c r="F49" s="69">
        <v>3254686</v>
      </c>
      <c r="G49" s="69">
        <v>39146886</v>
      </c>
    </row>
    <row r="50" spans="1:15" x14ac:dyDescent="0.45">
      <c r="A50" s="66"/>
      <c r="B50" s="71"/>
      <c r="C50" s="66"/>
      <c r="D50" s="66"/>
      <c r="E50" s="66"/>
      <c r="F50" s="66"/>
      <c r="G50" s="65"/>
      <c r="I50" s="26" t="s">
        <v>27</v>
      </c>
      <c r="J50" s="26"/>
      <c r="K50" s="26"/>
      <c r="L50" s="26"/>
      <c r="M50" s="26"/>
      <c r="N50" s="26"/>
      <c r="O50" s="26"/>
    </row>
    <row r="51" spans="1:15" x14ac:dyDescent="0.45">
      <c r="A51" s="69" t="s">
        <v>15</v>
      </c>
      <c r="B51" s="69"/>
      <c r="C51" s="69"/>
      <c r="D51" s="69"/>
      <c r="E51" s="69"/>
      <c r="F51" s="69"/>
      <c r="G51" s="69"/>
      <c r="I51" s="26" t="s">
        <v>3</v>
      </c>
      <c r="J51" s="42">
        <v>10</v>
      </c>
      <c r="K51" s="42">
        <v>100</v>
      </c>
      <c r="L51" s="42">
        <v>1000</v>
      </c>
      <c r="M51" s="42">
        <v>10000</v>
      </c>
      <c r="N51" s="42">
        <v>100000</v>
      </c>
      <c r="O51" s="42">
        <v>1000000</v>
      </c>
    </row>
    <row r="52" spans="1:15" x14ac:dyDescent="0.45">
      <c r="A52" s="69" t="s">
        <v>3</v>
      </c>
      <c r="B52" s="70">
        <v>10</v>
      </c>
      <c r="C52" s="70">
        <v>100</v>
      </c>
      <c r="D52" s="70">
        <v>1000</v>
      </c>
      <c r="E52" s="70">
        <v>10000</v>
      </c>
      <c r="F52" s="70">
        <v>100000</v>
      </c>
      <c r="G52" s="70">
        <v>1000000</v>
      </c>
      <c r="I52" s="26" t="s">
        <v>0</v>
      </c>
      <c r="J52" s="26">
        <v>0</v>
      </c>
      <c r="K52" s="26">
        <v>0</v>
      </c>
      <c r="L52" s="26">
        <v>0</v>
      </c>
      <c r="M52" s="26">
        <v>8</v>
      </c>
      <c r="N52" s="26">
        <v>29</v>
      </c>
      <c r="O52" s="26">
        <v>322</v>
      </c>
    </row>
    <row r="53" spans="1:15" x14ac:dyDescent="0.45">
      <c r="A53" s="69" t="s">
        <v>0</v>
      </c>
      <c r="B53" s="69">
        <v>0</v>
      </c>
      <c r="C53" s="69">
        <v>1</v>
      </c>
      <c r="D53" s="69">
        <v>1</v>
      </c>
      <c r="E53" s="69">
        <v>9</v>
      </c>
      <c r="F53" s="69">
        <v>31</v>
      </c>
      <c r="G53" s="69">
        <v>310</v>
      </c>
      <c r="I53" s="26" t="s">
        <v>1</v>
      </c>
      <c r="J53" s="26">
        <v>27</v>
      </c>
      <c r="K53" s="26">
        <v>578</v>
      </c>
      <c r="L53" s="26">
        <v>9119</v>
      </c>
      <c r="M53" s="26">
        <v>124373</v>
      </c>
      <c r="N53" s="26">
        <v>1577376</v>
      </c>
      <c r="O53" s="26">
        <v>19074492</v>
      </c>
    </row>
    <row r="54" spans="1:15" x14ac:dyDescent="0.45">
      <c r="A54" s="69" t="s">
        <v>1</v>
      </c>
      <c r="B54" s="69">
        <v>28</v>
      </c>
      <c r="C54" s="69">
        <v>584</v>
      </c>
      <c r="D54" s="69">
        <v>9114</v>
      </c>
      <c r="E54" s="69">
        <v>124361</v>
      </c>
      <c r="F54" s="69">
        <v>1577364</v>
      </c>
      <c r="G54" s="69">
        <v>19074825</v>
      </c>
      <c r="I54" s="26" t="s">
        <v>2</v>
      </c>
      <c r="J54" s="26">
        <v>64</v>
      </c>
      <c r="K54" s="26">
        <v>1256</v>
      </c>
      <c r="L54" s="26">
        <v>19238</v>
      </c>
      <c r="M54" s="26">
        <v>258746</v>
      </c>
      <c r="N54" s="26">
        <v>3254752</v>
      </c>
      <c r="O54" s="26">
        <v>39148984</v>
      </c>
    </row>
    <row r="55" spans="1:15" x14ac:dyDescent="0.45">
      <c r="A55" s="69" t="s">
        <v>2</v>
      </c>
      <c r="B55" s="69">
        <v>66</v>
      </c>
      <c r="C55" s="69">
        <v>1268</v>
      </c>
      <c r="D55" s="69">
        <v>19228</v>
      </c>
      <c r="E55" s="69">
        <v>258722</v>
      </c>
      <c r="F55" s="69">
        <v>3254728</v>
      </c>
      <c r="G55" s="69">
        <v>39149650</v>
      </c>
    </row>
    <row r="56" spans="1:15" x14ac:dyDescent="0.45">
      <c r="A56" s="66"/>
      <c r="B56" s="71"/>
      <c r="C56" s="66"/>
      <c r="D56" s="66"/>
      <c r="E56" s="66"/>
      <c r="F56" s="66"/>
      <c r="G56" s="65"/>
    </row>
    <row r="57" spans="1:15" x14ac:dyDescent="0.45">
      <c r="A57" s="69" t="s">
        <v>16</v>
      </c>
      <c r="B57" s="69"/>
      <c r="C57" s="69"/>
      <c r="D57" s="69"/>
      <c r="E57" s="69"/>
      <c r="F57" s="69"/>
      <c r="G57" s="69"/>
    </row>
    <row r="58" spans="1:15" x14ac:dyDescent="0.45">
      <c r="A58" s="69" t="s">
        <v>3</v>
      </c>
      <c r="B58" s="70">
        <v>10</v>
      </c>
      <c r="C58" s="70">
        <v>100</v>
      </c>
      <c r="D58" s="70">
        <v>1000</v>
      </c>
      <c r="E58" s="70">
        <v>10000</v>
      </c>
      <c r="F58" s="70">
        <v>100000</v>
      </c>
      <c r="G58" s="70">
        <v>1000000</v>
      </c>
    </row>
    <row r="59" spans="1:15" x14ac:dyDescent="0.45">
      <c r="A59" s="69" t="s">
        <v>0</v>
      </c>
      <c r="B59" s="69">
        <v>0</v>
      </c>
      <c r="C59" s="69">
        <v>1</v>
      </c>
      <c r="D59" s="69">
        <v>3</v>
      </c>
      <c r="E59" s="69">
        <v>9</v>
      </c>
      <c r="F59" s="69">
        <v>30</v>
      </c>
      <c r="G59" s="69">
        <v>313</v>
      </c>
    </row>
    <row r="60" spans="1:15" x14ac:dyDescent="0.45">
      <c r="A60" s="69" t="s">
        <v>1</v>
      </c>
      <c r="B60" s="69">
        <v>27</v>
      </c>
      <c r="C60" s="69">
        <v>580</v>
      </c>
      <c r="D60" s="69">
        <v>9131</v>
      </c>
      <c r="E60" s="69">
        <v>124449</v>
      </c>
      <c r="F60" s="69">
        <v>1577175</v>
      </c>
      <c r="G60" s="69">
        <v>19074680</v>
      </c>
    </row>
    <row r="61" spans="1:15" x14ac:dyDescent="0.45">
      <c r="A61" s="69" t="s">
        <v>2</v>
      </c>
      <c r="B61" s="69">
        <v>64</v>
      </c>
      <c r="C61" s="69">
        <v>1260</v>
      </c>
      <c r="D61" s="69">
        <v>19262</v>
      </c>
      <c r="E61" s="69">
        <v>258898</v>
      </c>
      <c r="F61" s="69">
        <v>3254350</v>
      </c>
      <c r="G61" s="69">
        <v>39149360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BubbleSort</vt:lpstr>
      <vt:lpstr>SelectionSort</vt:lpstr>
      <vt:lpstr>InsertionSort</vt:lpstr>
      <vt:lpstr>MergeSort</vt:lpstr>
      <vt:lpstr>QuickSort</vt:lpstr>
      <vt:lpstr>HeapSort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Rori Bulcock</dc:creator>
  <cp:lastModifiedBy>Aurora Bulcock</cp:lastModifiedBy>
  <cp:lastPrinted>2024-04-11T05:05:47Z</cp:lastPrinted>
  <dcterms:created xsi:type="dcterms:W3CDTF">2015-06-05T18:17:20Z</dcterms:created>
  <dcterms:modified xsi:type="dcterms:W3CDTF">2024-04-26T02:35:24Z</dcterms:modified>
</cp:coreProperties>
</file>